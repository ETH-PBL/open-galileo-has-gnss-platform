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il\Desktop\Bachelor Thesis repo\ciril_clerc_642\ublox_gnss_node\Documentation\Generate Files\BOM\"/>
    </mc:Choice>
  </mc:AlternateContent>
  <xr:revisionPtr revIDLastSave="0" documentId="13_ncr:1_{F8E48FD7-371D-49B4-A183-5DFF652F9045}" xr6:coauthVersionLast="47" xr6:coauthVersionMax="47" xr10:uidLastSave="{00000000-0000-0000-0000-000000000000}"/>
  <bookViews>
    <workbookView xWindow="-98" yWindow="-98" windowWidth="23236" windowHeight="13875" xr2:uid="{EDA8D62A-4465-4CFF-9411-C51EA75DF2B1}"/>
  </bookViews>
  <sheets>
    <sheet name="Bill of Materials-ublox_gnss_no" sheetId="1" r:id="rId1"/>
  </sheets>
  <definedNames>
    <definedName name="_xlnm.Print_Titles" localSheetId="0">'Bill of Materials-ublox_gnss_no'!$1:$1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2" i="1"/>
  <c r="P75" i="1"/>
</calcChain>
</file>

<file path=xl/sharedStrings.xml><?xml version="1.0" encoding="utf-8"?>
<sst xmlns="http://schemas.openxmlformats.org/spreadsheetml/2006/main" count="554" uniqueCount="408">
  <si>
    <t>Comment</t>
  </si>
  <si>
    <t>Description</t>
  </si>
  <si>
    <t>Designator</t>
  </si>
  <si>
    <t>Footprint</t>
  </si>
  <si>
    <t>LibRef</t>
  </si>
  <si>
    <t>Quantity</t>
  </si>
  <si>
    <t>Manufacturer</t>
  </si>
  <si>
    <t>Manufacturer Part Number</t>
  </si>
  <si>
    <t>Part Number</t>
  </si>
  <si>
    <t>PartNumber</t>
  </si>
  <si>
    <t>Manufacturer Name</t>
  </si>
  <si>
    <t>Manufacturer_Name</t>
  </si>
  <si>
    <t>Supplier</t>
  </si>
  <si>
    <t>Supplier Part Number</t>
  </si>
  <si>
    <t>ZED-X20P-00B</t>
  </si>
  <si>
    <t>u-blox X20 all-band GNSS High Precision module LGA, 250 pcs/reel</t>
  </si>
  <si>
    <t>U3</t>
  </si>
  <si>
    <t>ZED-F9P</t>
  </si>
  <si>
    <t>u-blox</t>
  </si>
  <si>
    <t>ZED-F9P-00B</t>
  </si>
  <si>
    <t>DigiKey</t>
  </si>
  <si>
    <t>672-ZED-X20P-00BCT-ND</t>
  </si>
  <si>
    <t>TPS2116DRLR</t>
  </si>
  <si>
    <t>1.6-V to 5.5-V, 40-mâ„|, 2.5-A, low-IQ, priority power multiplexer 8-SOT-5X3 -40 to 125</t>
  </si>
  <si>
    <t>U13, U14</t>
  </si>
  <si>
    <t>DRL0008A-MFG</t>
  </si>
  <si>
    <t>Texas Instruments</t>
  </si>
  <si>
    <t>TPD4S012DRYR</t>
  </si>
  <si>
    <t>TVS DIODE 5.5V 6SON</t>
  </si>
  <si>
    <t>U9, U12</t>
  </si>
  <si>
    <t>FP-DRY0006A-MFG</t>
  </si>
  <si>
    <t>CMP-0326-00038-4</t>
  </si>
  <si>
    <t>TPD4E05U06QDQARQ1</t>
  </si>
  <si>
    <t>TVS DIODE 5.5V 14V 10USON</t>
  </si>
  <si>
    <t>U5</t>
  </si>
  <si>
    <t>FP-DQA0010A-MFG</t>
  </si>
  <si>
    <t>CMP-04985-000004-1</t>
  </si>
  <si>
    <t>STM32H755ZIT6U</t>
  </si>
  <si>
    <t>STM32H755 MCU</t>
  </si>
  <si>
    <t>IC1</t>
  </si>
  <si>
    <t>QFP50P2200X2200X160-144N</t>
  </si>
  <si>
    <t>STMicroelectronics</t>
  </si>
  <si>
    <t>SMCJ58CA-E3/57T</t>
  </si>
  <si>
    <t>TVS DIODE 58V 93.6V DO214AB</t>
  </si>
  <si>
    <t>D10</t>
  </si>
  <si>
    <t>FP-95402-MFG</t>
  </si>
  <si>
    <t>CMP-02577-000016-1</t>
  </si>
  <si>
    <t>Vishay Semiconductor Diodes Division</t>
  </si>
  <si>
    <t>SM91072AL</t>
  </si>
  <si>
    <t>Telecom Transformer 1: 1 1.4Ohm Prim. DCR 1Ohm Sec. DCR 16 Terminal Gull Wing SMD Automotive</t>
  </si>
  <si>
    <t>T1</t>
  </si>
  <si>
    <t>SOIC127P950X590-16N</t>
  </si>
  <si>
    <t>Bourns</t>
  </si>
  <si>
    <t>Digikey</t>
  </si>
  <si>
    <t>118-SM91072AL-ECT-ND</t>
  </si>
  <si>
    <t>47R</t>
  </si>
  <si>
    <t>47Ω ±5% 1W 2512 Thick Film Chip Resistor AEC-Q200 compliant</t>
  </si>
  <si>
    <t>R52, R53</t>
  </si>
  <si>
    <t>FP-RMCF2512-MFG</t>
  </si>
  <si>
    <t>CMP-26527-006410-1</t>
  </si>
  <si>
    <t>Stackpole Electronics</t>
  </si>
  <si>
    <t>RMCF2512JT47R0</t>
  </si>
  <si>
    <t>Avnet</t>
  </si>
  <si>
    <t>NX3215SA-32.768K-STD-MUA-14</t>
  </si>
  <si>
    <t>Crystal or Oscillator - 6pF Load</t>
  </si>
  <si>
    <t>Y1</t>
  </si>
  <si>
    <t>NX3215SA32768KSTDMUA8</t>
  </si>
  <si>
    <t>NDK</t>
  </si>
  <si>
    <t>MX25L51245GMI-08G</t>
  </si>
  <si>
    <t>NOR Flahs 512MBit QSPI Macronix</t>
  </si>
  <si>
    <t>IC3</t>
  </si>
  <si>
    <t>SOIC127P1030X265-16N</t>
  </si>
  <si>
    <t>Macronix</t>
  </si>
  <si>
    <t>MB4S</t>
  </si>
  <si>
    <t>BRIDGE RECT 1P 400V 500MA 4SOIC</t>
  </si>
  <si>
    <t>D11</t>
  </si>
  <si>
    <t>FP-751EP-MFG</t>
  </si>
  <si>
    <t>CMP-07163-000033-1</t>
  </si>
  <si>
    <t>ON Semiconductor</t>
  </si>
  <si>
    <t>M24C64-FMN6TP</t>
  </si>
  <si>
    <t>EEPROM ST 64kbit I2C</t>
  </si>
  <si>
    <t>IC2</t>
  </si>
  <si>
    <t>SOIC127P600X175-8N</t>
  </si>
  <si>
    <t>M12D-04PFFR-SF7003</t>
  </si>
  <si>
    <t>Conn Circular F 4 POS Solder RA Panel Mount 4 Terminal 1 Port</t>
  </si>
  <si>
    <t>X1</t>
  </si>
  <si>
    <t>M12D04PFFRSF7003</t>
  </si>
  <si>
    <t>Amphenol</t>
  </si>
  <si>
    <t>LSM303AGRTR</t>
  </si>
  <si>
    <t>IMU ACCEL/MAG I2C/SPI 12LGA</t>
  </si>
  <si>
    <t>U2</t>
  </si>
  <si>
    <t>FP-LGA-12-8487206-MFG</t>
  </si>
  <si>
    <t>CMP-2000-07465-2</t>
  </si>
  <si>
    <t>2,2uH, 1.2A</t>
  </si>
  <si>
    <t>Inductor</t>
  </si>
  <si>
    <t>L2</t>
  </si>
  <si>
    <t>LQM2MPN1R0NG0L</t>
  </si>
  <si>
    <t>LQM2MPN2R2MG0L</t>
  </si>
  <si>
    <t>Murata Electronics</t>
  </si>
  <si>
    <t>LQG15HS47NJ02D</t>
  </si>
  <si>
    <t>Multilayer type RF Inductor 47nH ±5% 0.72Ω 300mA 0402</t>
  </si>
  <si>
    <t>L1</t>
  </si>
  <si>
    <t>FP-LQG15HH_02-IPC_B</t>
  </si>
  <si>
    <t>CMP-06042-015783-1</t>
  </si>
  <si>
    <t>Murata</t>
  </si>
  <si>
    <t>490-2631-6-ND</t>
  </si>
  <si>
    <t>LMR43620MC3RPERQ1</t>
  </si>
  <si>
    <t>Integrated Circuit</t>
  </si>
  <si>
    <t>U6</t>
  </si>
  <si>
    <t>10uF</t>
  </si>
  <si>
    <t>Capacitor 10uF 0805</t>
  </si>
  <si>
    <t>C27, C32, C33, C66, C67, C74, C75</t>
  </si>
  <si>
    <t>CAPC2013X140N</t>
  </si>
  <si>
    <t>LMK212AB7106MG-T</t>
  </si>
  <si>
    <t>TAIYO YUDEN</t>
  </si>
  <si>
    <t>ISOUSB111DWXR</t>
  </si>
  <si>
    <t>Low emissions, full and low speed isolated USB repeater 16-SSOP -40 to 125</t>
  </si>
  <si>
    <t>U8, U11</t>
  </si>
  <si>
    <t>DWX0016A</t>
  </si>
  <si>
    <t>296-ISOUSB111DWXRCT-ND</t>
  </si>
  <si>
    <t>ISM330DHCXTR</t>
  </si>
  <si>
    <t>INEMO INERTIAL MODULE: ALWAYS-ON</t>
  </si>
  <si>
    <t>U1</t>
  </si>
  <si>
    <t>FP-LGA-14L-DM00249496-MFG</t>
  </si>
  <si>
    <t>CMP-12177-000014-1</t>
  </si>
  <si>
    <t>497-19784-6-ND</t>
  </si>
  <si>
    <t>CAP CER 10UF 25V X5R 0603</t>
  </si>
  <si>
    <t>C8, C62, C85</t>
  </si>
  <si>
    <t>FP-GRM188-0_2-IPC_C</t>
  </si>
  <si>
    <t>GRM188R61E106MA73D</t>
  </si>
  <si>
    <t>Digi-Key</t>
  </si>
  <si>
    <t>490-7202-6-ND</t>
  </si>
  <si>
    <t>100nF</t>
  </si>
  <si>
    <t>Capacitor 100nF 0402 - storage</t>
  </si>
  <si>
    <t>C31, C55, C59, C64</t>
  </si>
  <si>
    <t>CAPC1005X55X25ML05T10</t>
  </si>
  <si>
    <t>GRM155R71H104KE14J</t>
  </si>
  <si>
    <t>DNP</t>
  </si>
  <si>
    <t>C45, C47</t>
  </si>
  <si>
    <t>CAPC1005X55X25LL05T10</t>
  </si>
  <si>
    <t>10nF</t>
  </si>
  <si>
    <t>Capacitor 10nF/50V 0402 - storage</t>
  </si>
  <si>
    <t>C36, C40, C53</t>
  </si>
  <si>
    <t>GRM15x</t>
  </si>
  <si>
    <t>GRM155R71H103KA88D</t>
  </si>
  <si>
    <t>[NoValue], Capacitor 100nF 0402 - storage</t>
  </si>
  <si>
    <t>C2, C3, C7, C9, C37, C41, C44, C46, C50</t>
  </si>
  <si>
    <t>CMP-2008-03928-1, GRM155R71H104KE14J</t>
  </si>
  <si>
    <t>GRM155R71C104KA88J, GRM155R71H104KE14J</t>
  </si>
  <si>
    <t>GRM155R71C104KA88J, [NoParam]</t>
  </si>
  <si>
    <t>Capacitor 10uF 0402 - storage</t>
  </si>
  <si>
    <t>C39, C43</t>
  </si>
  <si>
    <t>GRM155R61A106ME11D</t>
  </si>
  <si>
    <t>1uF</t>
  </si>
  <si>
    <t>Capacitor 1uF/35V 0402 - storage</t>
  </si>
  <si>
    <t>C38, C42</t>
  </si>
  <si>
    <t>CAPC1005X70N</t>
  </si>
  <si>
    <t>GRM155R6YA105KE11D</t>
  </si>
  <si>
    <t>CAP 1uF  0402 (1005 Metric)</t>
  </si>
  <si>
    <t>C1, C4</t>
  </si>
  <si>
    <t>CAPC0402(1005)60_L</t>
  </si>
  <si>
    <t>CMP-1034-02114-1</t>
  </si>
  <si>
    <t>GRM155C81C105KE11D</t>
  </si>
  <si>
    <t>4.7uF/50V</t>
  </si>
  <si>
    <t>Capacitor 4.7uF/50V 0805</t>
  </si>
  <si>
    <t>C56</t>
  </si>
  <si>
    <t>CAPC2012X145N</t>
  </si>
  <si>
    <t>GRM21BR61H475KE51L</t>
  </si>
  <si>
    <t>EVP-AA002K</t>
  </si>
  <si>
    <t>Light Touch Switch, 100 mOhm, -40 to 85 degC, 4-Pin SMD, RoHS, Tape and Reel</t>
  </si>
  <si>
    <t>SW1</t>
  </si>
  <si>
    <t>PNSC-EVPAA_V</t>
  </si>
  <si>
    <t>CMP-2000-06231-1</t>
  </si>
  <si>
    <t>Panasonic</t>
  </si>
  <si>
    <t>PanasonicIndustrialDevices</t>
  </si>
  <si>
    <t>P13347SDKR-ND</t>
  </si>
  <si>
    <t>5k1</t>
  </si>
  <si>
    <t>Resistor 5k1 0805</t>
  </si>
  <si>
    <t>R40, R42, R43, R44, R46, R47</t>
  </si>
  <si>
    <t>ERJUP6</t>
  </si>
  <si>
    <t>ERJ-UP6D5101V</t>
  </si>
  <si>
    <t>10k</t>
  </si>
  <si>
    <t>Resistor 10k 0805</t>
  </si>
  <si>
    <t>R13, R14, R15, R24, R25, R26, R28</t>
  </si>
  <si>
    <t>RESC2012X70N</t>
  </si>
  <si>
    <t>ERJ-6GEYJ103V</t>
  </si>
  <si>
    <t>Resistor 10k 0402</t>
  </si>
  <si>
    <t>R41, R45, R48, R49</t>
  </si>
  <si>
    <t>RESC1005X40X25ML05T05</t>
  </si>
  <si>
    <t>CMP-2002-00433-1</t>
  </si>
  <si>
    <t>ERJ-2GEJ103X</t>
  </si>
  <si>
    <t>75R</t>
  </si>
  <si>
    <t>Resistor 75R 0805</t>
  </si>
  <si>
    <t>R36, R37</t>
  </si>
  <si>
    <t>RESC2013X60X40NL20T25</t>
  </si>
  <si>
    <t>CMP-2001-00665-1</t>
  </si>
  <si>
    <t>ERA6AEB750V</t>
  </si>
  <si>
    <t>2k2</t>
  </si>
  <si>
    <t>Resistor 2k2 0603</t>
  </si>
  <si>
    <t>R29, R30, R31, R35</t>
  </si>
  <si>
    <t>RESC2013X60X40LL20T25</t>
  </si>
  <si>
    <t>CMP-2001-00613-1</t>
  </si>
  <si>
    <t>ERA6AEB222V</t>
  </si>
  <si>
    <t>6.8uH</t>
  </si>
  <si>
    <t>Inductor 6.8uH 2.55A 43.5 MOHM</t>
  </si>
  <si>
    <t>L3</t>
  </si>
  <si>
    <t>DR736R8R</t>
  </si>
  <si>
    <t>DR73-6R8-R</t>
  </si>
  <si>
    <t>Eaton</t>
  </si>
  <si>
    <t>DP83826ERHBR</t>
  </si>
  <si>
    <t>Ethernet Transceiver, 1-Trnsvr, PQCC32</t>
  </si>
  <si>
    <t>U4</t>
  </si>
  <si>
    <t>QFN_ERHBR_TEX</t>
  </si>
  <si>
    <t>296-DP83826ERHBRCT-ND</t>
  </si>
  <si>
    <t>0R</t>
  </si>
  <si>
    <t>Resistor 0R 0402</t>
  </si>
  <si>
    <t>R2, R16, R17, R18, R22, R27, R38, R51</t>
  </si>
  <si>
    <t>RESC1005X40X25LL05T10</t>
  </si>
  <si>
    <t>CMP-2002-03041-1</t>
  </si>
  <si>
    <t>Vishay Dale</t>
  </si>
  <si>
    <t>CRCW04020000Z0EDHP</t>
  </si>
  <si>
    <t>R32</t>
  </si>
  <si>
    <t>RESC1005X40X25NL05T10</t>
  </si>
  <si>
    <t>CMP-009-00183-1</t>
  </si>
  <si>
    <t>R33</t>
  </si>
  <si>
    <t>R39, R50</t>
  </si>
  <si>
    <t>100k</t>
  </si>
  <si>
    <t>100K 0.1W 1% 0603 (1608 Metric)  SMD</t>
  </si>
  <si>
    <t>R54, R55</t>
  </si>
  <si>
    <t>RESC0603(1608)_N</t>
  </si>
  <si>
    <t>CMP-1012-00736-1</t>
  </si>
  <si>
    <t>Vishay, [NoParam]</t>
  </si>
  <si>
    <t>DigiKey, [NoParam]</t>
  </si>
  <si>
    <t>CRCW0603100KFKTC-ND, [NoParam]</t>
  </si>
  <si>
    <t>6k49</t>
  </si>
  <si>
    <t>Resistor 6k49 0402 1%</t>
  </si>
  <si>
    <t>R34</t>
  </si>
  <si>
    <t>RESC1005X40X25NL05T05</t>
  </si>
  <si>
    <t>CMP-2002-00186-1</t>
  </si>
  <si>
    <t>CRCW04026K49FKED</t>
  </si>
  <si>
    <t>10R</t>
  </si>
  <si>
    <t>Chip Resistor, 10 Ohm, +/- 1%, 0.1 W, -55 to 155 degC, 0603 (1608 Metric), RoHS, Tape and Reel</t>
  </si>
  <si>
    <t>R3</t>
  </si>
  <si>
    <t>RESC1608X55X25NL10T15</t>
  </si>
  <si>
    <t>CMP-1659-00008-4</t>
  </si>
  <si>
    <t>Yageo</t>
  </si>
  <si>
    <t>CR0603-FX-10R0ELF</t>
  </si>
  <si>
    <t>CR0603-FX-10R0ELFCT-ND</t>
  </si>
  <si>
    <t>1nF/2kV</t>
  </si>
  <si>
    <t>Capacitor 1nF/2kV 3216 Isolated GND Loop Cap</t>
  </si>
  <si>
    <t>C54</t>
  </si>
  <si>
    <t>CAPC3216X180N</t>
  </si>
  <si>
    <t>CL31B102KJHNNNE</t>
  </si>
  <si>
    <t>SAMSUNG</t>
  </si>
  <si>
    <t>C73, C81</t>
  </si>
  <si>
    <t>4.7uF</t>
  </si>
  <si>
    <t>Capacitor 4.7uF 0603</t>
  </si>
  <si>
    <t>C68, C76</t>
  </si>
  <si>
    <t>CAPC1608X95N</t>
  </si>
  <si>
    <t>CL10B475KQ8NQNC</t>
  </si>
  <si>
    <t>Capacitor 1uF 0603</t>
  </si>
  <si>
    <t>C6, C10, C12, C14</t>
  </si>
  <si>
    <t>CAPC1608X90N</t>
  </si>
  <si>
    <t>CL10B105KP8NNNC</t>
  </si>
  <si>
    <t>220nF</t>
  </si>
  <si>
    <t>C5</t>
  </si>
  <si>
    <t>CAPC1005X55X25NL05T05</t>
  </si>
  <si>
    <t>CMP-1034-02087-2</t>
  </si>
  <si>
    <t>Samsung</t>
  </si>
  <si>
    <t>CL05B224KO5NNNC</t>
  </si>
  <si>
    <t>1276-1176-1-ND</t>
  </si>
  <si>
    <t>Capacitor 100nF 0603</t>
  </si>
  <si>
    <t>C11, C13, C16, C17, C18, C19, C20, C21, C22, C23, C24, C25, C28, C29, C30, C86, C87</t>
  </si>
  <si>
    <t>CC0603KRX7R7BB104</t>
  </si>
  <si>
    <t>YAGEO</t>
  </si>
  <si>
    <t>1uF/50V</t>
  </si>
  <si>
    <t>Capacitor 1uF/50V 0801</t>
  </si>
  <si>
    <t>C57, C58, C65</t>
  </si>
  <si>
    <t>CAPC3216X110X50LL20T25</t>
  </si>
  <si>
    <t>CMP-2000-06011-1</t>
  </si>
  <si>
    <t>Kemet</t>
  </si>
  <si>
    <t>C1206C105K5RACTU</t>
  </si>
  <si>
    <t>1nF</t>
  </si>
  <si>
    <t>Capacitor 1nF 0805</t>
  </si>
  <si>
    <t>C69, C70, C71, C72, C77, C78, C79, C80</t>
  </si>
  <si>
    <t>FP-C0805C-DN-MFG</t>
  </si>
  <si>
    <t>CMP-2007-00235-2</t>
  </si>
  <si>
    <t>KEMET</t>
  </si>
  <si>
    <t>C0805C102J5GACTU</t>
  </si>
  <si>
    <t>C82, C83</t>
  </si>
  <si>
    <t>FP-C0603C-CF-MFG</t>
  </si>
  <si>
    <t>CMP-2006-03061-2</t>
  </si>
  <si>
    <t>C0603C104K5RACTU</t>
  </si>
  <si>
    <t>10nF/200V</t>
  </si>
  <si>
    <t>CAP 10nF 200V ±10% 0603 (1608 Metric) Thickness 1mm SMD</t>
  </si>
  <si>
    <t>C51, C52</t>
  </si>
  <si>
    <t>CAPC0603(1608)100_L</t>
  </si>
  <si>
    <t>CMP-1035-02328-1</t>
  </si>
  <si>
    <t>Yageo Group</t>
  </si>
  <si>
    <t>C0603C103K2RAC</t>
  </si>
  <si>
    <t>22pF</t>
  </si>
  <si>
    <t>Capacitor 22pF 0402</t>
  </si>
  <si>
    <t>C48, C49</t>
  </si>
  <si>
    <t>C0402C104J4RACTU</t>
  </si>
  <si>
    <t>C0402C220K5GACTU</t>
  </si>
  <si>
    <t>BLM18KG601SN1D</t>
  </si>
  <si>
    <t>Chip Ferrite Bead, 0603, 600Ω @ 100MHz, 0.15Ω, 25%, 1.3A</t>
  </si>
  <si>
    <t>FB1, FB2, FB3, FB4, FB5, FB6</t>
  </si>
  <si>
    <t>FP-BLM18-0_15-t0_8-IPC_A</t>
  </si>
  <si>
    <t>CMP-0686-00581-3</t>
  </si>
  <si>
    <t>AG9905-MTB</t>
  </si>
  <si>
    <t>Power over Ethernet - PoE PD Module, Isolated DC-DC converter, IEEE802.3af compliant, Over Temp. Protection, Ind Temp. Range, Small Footprint, SMT. (Blocks not pins).</t>
  </si>
  <si>
    <t>B1</t>
  </si>
  <si>
    <t>AG9905MTB</t>
  </si>
  <si>
    <t>Silvertel</t>
  </si>
  <si>
    <t>ABM8AIG-25.000MHZ-12-2Z-T3</t>
  </si>
  <si>
    <t>Crystal 25MHz ±20ppm (Tol) ±50ppm (Stability) 12pF FUND 50Ω Automotive 4-Pin Ultra Mini-CSMD T/R</t>
  </si>
  <si>
    <t>Y2</t>
  </si>
  <si>
    <t>FP-ABM8AIG-MFG</t>
  </si>
  <si>
    <t>CMP-27762-004325-2</t>
  </si>
  <si>
    <t>12402012E212A</t>
  </si>
  <si>
    <t>USB2.0, Type C, Top mount, CH 1.68mm, Dual Row SMT</t>
  </si>
  <si>
    <t>J2, J3</t>
  </si>
  <si>
    <t>AMPHENOL_12402012E212A</t>
  </si>
  <si>
    <t>220pF</t>
  </si>
  <si>
    <t>Capacitor 220pF 0603</t>
  </si>
  <si>
    <t>C26</t>
  </si>
  <si>
    <t>CAPC1608X87N</t>
  </si>
  <si>
    <t>0603B221K500CT</t>
  </si>
  <si>
    <t>Walsin Technology Corporation</t>
  </si>
  <si>
    <t>R1</t>
  </si>
  <si>
    <t>CMP-2002-07567-1</t>
  </si>
  <si>
    <t>Yageo / Phycomp</t>
  </si>
  <si>
    <t>RC0402FR-072K2L</t>
  </si>
  <si>
    <t>4.7k</t>
  </si>
  <si>
    <t/>
  </si>
  <si>
    <t>R19, R20, R21, R23, R58, R59, R60, R61</t>
  </si>
  <si>
    <t>RESC1005X40X25LL05T05</t>
  </si>
  <si>
    <t>CMP-1011-00090-2</t>
  </si>
  <si>
    <t>CRCW04024K70JNTD</t>
  </si>
  <si>
    <t>5.1pF</t>
  </si>
  <si>
    <t>C34, C35</t>
  </si>
  <si>
    <t>CAPC1005X55X25NL05T10</t>
  </si>
  <si>
    <t>CMP-2008-04393-1</t>
  </si>
  <si>
    <t>GRM1555C1H5R1CA01D</t>
  </si>
  <si>
    <t>22uF</t>
  </si>
  <si>
    <t>C15, C60, C61</t>
  </si>
  <si>
    <t>CAPC2013X152X50ML20T25</t>
  </si>
  <si>
    <t>CMP-2007-04522-1</t>
  </si>
  <si>
    <t>AVX Interconnect / Elco</t>
  </si>
  <si>
    <t>0805ZD226MAT2A</t>
  </si>
  <si>
    <t>33k</t>
  </si>
  <si>
    <t>R56, R57</t>
  </si>
  <si>
    <t>RESC3116X65X40LL10T20</t>
  </si>
  <si>
    <t>CMP-2003-03510-1</t>
  </si>
  <si>
    <t>RC1206JR-1033KL</t>
  </si>
  <si>
    <t>100uF</t>
  </si>
  <si>
    <t>Aluminum Electrolytic Capacitor, UD Series, Low Impedance, 100 uF, 25 V, + / - 20%, -55 to 105 degC, Chip Type, 6.3 x 7.7 mm D x L, Pb-Free, Reel</t>
  </si>
  <si>
    <t>C84</t>
  </si>
  <si>
    <t>NIC-CAPA2-6.3X7.7_V</t>
  </si>
  <si>
    <t>CMP-0687-00063-1</t>
  </si>
  <si>
    <t>Nichicon</t>
  </si>
  <si>
    <t>UUD1E101MCL1GS</t>
  </si>
  <si>
    <t>330R</t>
  </si>
  <si>
    <t>330R 0.063W 5% 0402 (1005 Metric)  SMD</t>
  </si>
  <si>
    <t>R4, R5, R6, R7, R8, R9, R10, R11, R12</t>
  </si>
  <si>
    <t>RESC0402(1005)_M</t>
  </si>
  <si>
    <t>CMP-1011-00062-1</t>
  </si>
  <si>
    <t>CRCW0402330RJNTD-ND</t>
  </si>
  <si>
    <t>LED Green</t>
  </si>
  <si>
    <t>WURTH ELEKTRONIK - 150060VS75000 - LED, Green, SMD, 0603, 30 mA, 2 V, 570 nm</t>
  </si>
  <si>
    <t>D1, D2, D5, D8</t>
  </si>
  <si>
    <t>WL-SMCW_0603_150060xx75000</t>
  </si>
  <si>
    <t>CMP-1426-00006-7</t>
  </si>
  <si>
    <t>RS</t>
  </si>
  <si>
    <t>8154215P</t>
  </si>
  <si>
    <t>LED Red</t>
  </si>
  <si>
    <t>LED Low-Power Uni-Color Red 630nm 2V 2-Pin Chip 0603(1608Metric) T/R</t>
  </si>
  <si>
    <t>D4, D7</t>
  </si>
  <si>
    <t>CMP-1426-00001-4</t>
  </si>
  <si>
    <t>Farnell</t>
  </si>
  <si>
    <t>150060RS75000</t>
  </si>
  <si>
    <t>LED Yellow</t>
  </si>
  <si>
    <t>WL-SMCW SMT Mono-Color Chip LED Waterclear</t>
  </si>
  <si>
    <t>D3, D6, D9</t>
  </si>
  <si>
    <t>CMP-1426-00005-3</t>
  </si>
  <si>
    <t>150060YS75000</t>
  </si>
  <si>
    <t>MIKROBUS HOST CONN.</t>
  </si>
  <si>
    <t>mikroBUS Host Socket</t>
  </si>
  <si>
    <t>MIKROBUS 1</t>
  </si>
  <si>
    <t>MIKROBUS HOST CONN. SMD</t>
  </si>
  <si>
    <t>MIKROBUS HOST CONN._1</t>
  </si>
  <si>
    <t>1471-MIKROE-5210-ND</t>
  </si>
  <si>
    <t>SMA-J-P-H-ST-EM1</t>
  </si>
  <si>
    <t>CONN SMA JACK STR 50OHM EDGE MNT</t>
  </si>
  <si>
    <t>J1</t>
  </si>
  <si>
    <t>FP-SMA-J-P-H-ST-EM1-MFG</t>
  </si>
  <si>
    <t>CMP-02754-000006-1</t>
  </si>
  <si>
    <t>TDN 5-0911WISM</t>
  </si>
  <si>
    <t>TDN 5-0911WISM DC-DC Converter, 5V, 1A; No. of Outputs: 1 Output; Output Power Max: 5W; Voltage - 1: 5V; Current 1: 1A;</t>
  </si>
  <si>
    <t>U7, U10</t>
  </si>
  <si>
    <t>TDN 5WISM SINGLE_TRP</t>
  </si>
  <si>
    <t>TDN5-0911WISM-ND</t>
  </si>
  <si>
    <t>testpoint</t>
  </si>
  <si>
    <t>*7, *8, *10, *11, *13, *14, *15, *16, *17, *18, *19, *20, *21, *22, *23, *24, *25, *26, *27, *28, *29, 2, 3, 4, 5, 6, 7, r</t>
  </si>
  <si>
    <t>Merged Name</t>
  </si>
  <si>
    <t>Merged Number</t>
  </si>
  <si>
    <t>CRCW0603100KFKTC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</si>
</sst>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3987-0BB7-4B43-BEE1-0A0594444CAF}">
  <dimension ref="A1:P75"/>
  <sheetViews>
    <sheetView tabSelected="1" topLeftCell="B35" zoomScale="99" workbookViewId="0">
      <selection activeCell="H44" sqref="H44"/>
    </sheetView>
  </sheetViews>
  <sheetFormatPr defaultRowHeight="14.25" x14ac:dyDescent="0.45"/>
  <cols>
    <col min="1" max="6" width="18.53125" customWidth="1"/>
    <col min="7" max="13" width="15.53125" customWidth="1"/>
    <col min="14" max="14" width="30.73046875" bestFit="1" customWidth="1"/>
    <col min="15" max="15" width="31.53125" bestFit="1" customWidth="1"/>
    <col min="16" max="16" width="68.59765625" bestFit="1" customWidth="1"/>
  </cols>
  <sheetData>
    <row r="1" spans="1:16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405</v>
      </c>
      <c r="P1" s="4" t="s">
        <v>406</v>
      </c>
    </row>
    <row r="2" spans="1:16" x14ac:dyDescent="0.45">
      <c r="A2" s="2" t="s">
        <v>14</v>
      </c>
      <c r="B2" s="2" t="s">
        <v>15</v>
      </c>
      <c r="C2" s="2" t="s">
        <v>16</v>
      </c>
      <c r="D2" s="2" t="s">
        <v>17</v>
      </c>
      <c r="E2" s="2" t="s">
        <v>14</v>
      </c>
      <c r="F2" s="1">
        <v>1</v>
      </c>
      <c r="G2" s="2" t="s">
        <v>18</v>
      </c>
      <c r="H2" s="2" t="s">
        <v>14</v>
      </c>
      <c r="I2" s="2" t="s">
        <v>19</v>
      </c>
      <c r="J2" s="1"/>
      <c r="K2" s="1"/>
      <c r="L2" s="1"/>
      <c r="M2" s="2" t="s">
        <v>20</v>
      </c>
      <c r="N2" s="2" t="s">
        <v>21</v>
      </c>
      <c r="O2" t="str">
        <f>IF(G2&lt;&gt;"", G2, IF(K2&lt;&gt;"", K2, IF(L2&lt;&gt;"", L2, IF(M2&lt;&gt;"", M2, ""))))</f>
        <v>u-blox</v>
      </c>
      <c r="P2" t="str">
        <f>IF(H2&lt;&gt;"", H2, IF(I2&lt;&gt;"", I2, IF(J2&lt;&gt;"", J2, IF(N2&lt;&gt;"", N2, ""))))</f>
        <v>ZED-X20P-00B</v>
      </c>
    </row>
    <row r="3" spans="1:16" x14ac:dyDescent="0.45">
      <c r="A3" s="2" t="s">
        <v>22</v>
      </c>
      <c r="B3" s="2" t="s">
        <v>23</v>
      </c>
      <c r="C3" s="2" t="s">
        <v>24</v>
      </c>
      <c r="D3" s="2" t="s">
        <v>25</v>
      </c>
      <c r="E3" s="2" t="s">
        <v>22</v>
      </c>
      <c r="F3" s="1">
        <v>2</v>
      </c>
      <c r="G3" s="1"/>
      <c r="H3" s="2" t="s">
        <v>22</v>
      </c>
      <c r="I3" s="1"/>
      <c r="J3" s="1"/>
      <c r="K3" s="2" t="s">
        <v>26</v>
      </c>
      <c r="L3" s="1"/>
      <c r="M3" s="1"/>
      <c r="N3" s="1"/>
      <c r="O3" t="str">
        <f t="shared" ref="O3:O66" si="0">IF(G3&lt;&gt;"", G3, IF(K3&lt;&gt;"", K3, IF(L3&lt;&gt;"", L3, IF(M3&lt;&gt;"", M3, ""))))</f>
        <v>Texas Instruments</v>
      </c>
      <c r="P3" t="str">
        <f t="shared" ref="P3:P66" si="1">IF(H3&lt;&gt;"", H3, IF(I3&lt;&gt;"", I3, IF(J3&lt;&gt;"", J3, IF(N3&lt;&gt;"", N3, ""))))</f>
        <v>TPS2116DRLR</v>
      </c>
    </row>
    <row r="4" spans="1:16" x14ac:dyDescent="0.4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1">
        <v>2</v>
      </c>
      <c r="G4" s="1"/>
      <c r="H4" s="2" t="s">
        <v>27</v>
      </c>
      <c r="I4" s="1"/>
      <c r="J4" s="1"/>
      <c r="K4" s="1"/>
      <c r="L4" s="1"/>
      <c r="M4" s="1"/>
      <c r="N4" s="1"/>
      <c r="O4" t="str">
        <f t="shared" si="0"/>
        <v/>
      </c>
      <c r="P4" t="str">
        <f t="shared" si="1"/>
        <v>TPD4S012DRYR</v>
      </c>
    </row>
    <row r="5" spans="1:16" x14ac:dyDescent="0.4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1">
        <v>1</v>
      </c>
      <c r="G5" s="2" t="s">
        <v>26</v>
      </c>
      <c r="H5" s="2" t="s">
        <v>32</v>
      </c>
      <c r="I5" s="1"/>
      <c r="J5" s="1"/>
      <c r="K5" s="1"/>
      <c r="L5" s="1"/>
      <c r="M5" s="1"/>
      <c r="N5" s="1"/>
      <c r="O5" t="str">
        <f t="shared" si="0"/>
        <v>Texas Instruments</v>
      </c>
      <c r="P5" t="str">
        <f t="shared" si="1"/>
        <v>TPD4E05U06QDQARQ1</v>
      </c>
    </row>
    <row r="6" spans="1:16" x14ac:dyDescent="0.45">
      <c r="A6" s="2" t="s">
        <v>37</v>
      </c>
      <c r="B6" s="2" t="s">
        <v>38</v>
      </c>
      <c r="C6" s="2" t="s">
        <v>39</v>
      </c>
      <c r="D6" s="2" t="s">
        <v>40</v>
      </c>
      <c r="E6" s="2" t="s">
        <v>37</v>
      </c>
      <c r="F6" s="1">
        <v>1</v>
      </c>
      <c r="G6" s="1"/>
      <c r="H6" s="2" t="s">
        <v>37</v>
      </c>
      <c r="I6" s="1"/>
      <c r="J6" s="1"/>
      <c r="K6" s="1"/>
      <c r="L6" s="2" t="s">
        <v>41</v>
      </c>
      <c r="M6" s="1"/>
      <c r="N6" s="1"/>
      <c r="O6" t="str">
        <f t="shared" si="0"/>
        <v>STMicroelectronics</v>
      </c>
      <c r="P6" t="str">
        <f t="shared" si="1"/>
        <v>STM32H755ZIT6U</v>
      </c>
    </row>
    <row r="7" spans="1:16" x14ac:dyDescent="0.4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1">
        <v>1</v>
      </c>
      <c r="G7" s="2" t="s">
        <v>47</v>
      </c>
      <c r="H7" s="2" t="s">
        <v>42</v>
      </c>
      <c r="I7" s="1"/>
      <c r="J7" s="1"/>
      <c r="K7" s="1"/>
      <c r="L7" s="1"/>
      <c r="M7" s="1"/>
      <c r="N7" s="1"/>
      <c r="O7" t="str">
        <f t="shared" si="0"/>
        <v>Vishay Semiconductor Diodes Division</v>
      </c>
      <c r="P7" t="str">
        <f t="shared" si="1"/>
        <v>SMCJ58CA-E3/57T</v>
      </c>
    </row>
    <row r="8" spans="1:16" x14ac:dyDescent="0.45">
      <c r="A8" s="2" t="s">
        <v>48</v>
      </c>
      <c r="B8" s="2" t="s">
        <v>49</v>
      </c>
      <c r="C8" s="2" t="s">
        <v>50</v>
      </c>
      <c r="D8" s="2" t="s">
        <v>51</v>
      </c>
      <c r="E8" s="2" t="s">
        <v>48</v>
      </c>
      <c r="F8" s="1">
        <v>1</v>
      </c>
      <c r="G8" s="2" t="s">
        <v>52</v>
      </c>
      <c r="H8" s="2" t="s">
        <v>48</v>
      </c>
      <c r="I8" s="1"/>
      <c r="J8" s="1"/>
      <c r="K8" s="1"/>
      <c r="L8" s="1"/>
      <c r="M8" s="2" t="s">
        <v>53</v>
      </c>
      <c r="N8" s="2" t="s">
        <v>54</v>
      </c>
      <c r="O8" t="str">
        <f t="shared" si="0"/>
        <v>Bourns</v>
      </c>
      <c r="P8" t="str">
        <f t="shared" si="1"/>
        <v>SM91072AL</v>
      </c>
    </row>
    <row r="9" spans="1:16" x14ac:dyDescent="0.45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1">
        <v>2</v>
      </c>
      <c r="G9" s="2" t="s">
        <v>60</v>
      </c>
      <c r="H9" s="2" t="s">
        <v>61</v>
      </c>
      <c r="I9" s="1"/>
      <c r="J9" s="1"/>
      <c r="K9" s="1"/>
      <c r="L9" s="1"/>
      <c r="M9" s="2" t="s">
        <v>62</v>
      </c>
      <c r="N9" s="2" t="s">
        <v>61</v>
      </c>
      <c r="O9" t="str">
        <f t="shared" si="0"/>
        <v>Stackpole Electronics</v>
      </c>
      <c r="P9" t="str">
        <f t="shared" si="1"/>
        <v>RMCF2512JT47R0</v>
      </c>
    </row>
    <row r="10" spans="1:16" x14ac:dyDescent="0.45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63</v>
      </c>
      <c r="F10" s="1">
        <v>1</v>
      </c>
      <c r="G10" s="1"/>
      <c r="H10" s="2" t="s">
        <v>63</v>
      </c>
      <c r="I10" s="1"/>
      <c r="J10" s="1"/>
      <c r="K10" s="1"/>
      <c r="L10" s="2" t="s">
        <v>67</v>
      </c>
      <c r="M10" s="1"/>
      <c r="N10" s="1"/>
      <c r="O10" t="str">
        <f t="shared" si="0"/>
        <v>NDK</v>
      </c>
      <c r="P10" t="str">
        <f t="shared" si="1"/>
        <v>NX3215SA-32.768K-STD-MUA-14</v>
      </c>
    </row>
    <row r="11" spans="1:16" x14ac:dyDescent="0.45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68</v>
      </c>
      <c r="F11" s="1">
        <v>1</v>
      </c>
      <c r="G11" s="1"/>
      <c r="H11" s="2" t="s">
        <v>68</v>
      </c>
      <c r="I11" s="1"/>
      <c r="J11" s="1"/>
      <c r="K11" s="1"/>
      <c r="L11" s="2" t="s">
        <v>72</v>
      </c>
      <c r="M11" s="1"/>
      <c r="N11" s="1"/>
      <c r="O11" t="str">
        <f t="shared" si="0"/>
        <v>Macronix</v>
      </c>
      <c r="P11" t="str">
        <f t="shared" si="1"/>
        <v>MX25L51245GMI-08G</v>
      </c>
    </row>
    <row r="12" spans="1:16" x14ac:dyDescent="0.45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1">
        <v>1</v>
      </c>
      <c r="G12" s="2" t="s">
        <v>78</v>
      </c>
      <c r="H12" s="2" t="s">
        <v>73</v>
      </c>
      <c r="I12" s="1"/>
      <c r="J12" s="1"/>
      <c r="K12" s="1"/>
      <c r="L12" s="1"/>
      <c r="M12" s="1"/>
      <c r="N12" s="1"/>
      <c r="O12" t="str">
        <f t="shared" si="0"/>
        <v>ON Semiconductor</v>
      </c>
      <c r="P12" t="str">
        <f t="shared" si="1"/>
        <v>MB4S</v>
      </c>
    </row>
    <row r="13" spans="1:16" x14ac:dyDescent="0.45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79</v>
      </c>
      <c r="F13" s="1">
        <v>1</v>
      </c>
      <c r="G13" s="1"/>
      <c r="H13" s="2" t="s">
        <v>79</v>
      </c>
      <c r="I13" s="1"/>
      <c r="J13" s="1"/>
      <c r="K13" s="1"/>
      <c r="L13" s="2" t="s">
        <v>41</v>
      </c>
      <c r="M13" s="1"/>
      <c r="N13" s="1"/>
      <c r="O13" t="str">
        <f t="shared" si="0"/>
        <v>STMicroelectronics</v>
      </c>
      <c r="P13" t="str">
        <f t="shared" si="1"/>
        <v>M24C64-FMN6TP</v>
      </c>
    </row>
    <row r="14" spans="1:16" x14ac:dyDescent="0.45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83</v>
      </c>
      <c r="F14" s="1">
        <v>1</v>
      </c>
      <c r="G14" s="2" t="s">
        <v>87</v>
      </c>
      <c r="H14" s="2" t="s">
        <v>83</v>
      </c>
      <c r="I14" s="1"/>
      <c r="J14" s="1"/>
      <c r="K14" s="1"/>
      <c r="L14" s="1"/>
      <c r="M14" s="1"/>
      <c r="N14" s="1"/>
      <c r="O14" t="str">
        <f t="shared" si="0"/>
        <v>Amphenol</v>
      </c>
      <c r="P14" t="str">
        <f t="shared" si="1"/>
        <v>M12D-04PFFR-SF7003</v>
      </c>
    </row>
    <row r="15" spans="1:16" x14ac:dyDescent="0.45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1">
        <v>1</v>
      </c>
      <c r="G15" s="2" t="s">
        <v>41</v>
      </c>
      <c r="H15" s="2" t="s">
        <v>88</v>
      </c>
      <c r="I15" s="1"/>
      <c r="J15" s="1"/>
      <c r="K15" s="1"/>
      <c r="L15" s="1"/>
      <c r="M15" s="1"/>
      <c r="N15" s="1"/>
      <c r="O15" t="str">
        <f t="shared" si="0"/>
        <v>STMicroelectronics</v>
      </c>
      <c r="P15" t="str">
        <f t="shared" si="1"/>
        <v>LSM303AGRTR</v>
      </c>
    </row>
    <row r="16" spans="1:16" x14ac:dyDescent="0.45">
      <c r="A16" s="2" t="s">
        <v>93</v>
      </c>
      <c r="B16" s="2" t="s">
        <v>94</v>
      </c>
      <c r="C16" s="2" t="s">
        <v>95</v>
      </c>
      <c r="D16" s="2" t="s">
        <v>96</v>
      </c>
      <c r="E16" s="2" t="s">
        <v>97</v>
      </c>
      <c r="F16" s="1">
        <v>1</v>
      </c>
      <c r="G16" s="1"/>
      <c r="H16" s="2" t="s">
        <v>97</v>
      </c>
      <c r="I16" s="1"/>
      <c r="J16" s="1"/>
      <c r="K16" s="1"/>
      <c r="L16" s="2" t="s">
        <v>98</v>
      </c>
      <c r="M16" s="1"/>
      <c r="N16" s="1"/>
      <c r="O16" t="str">
        <f t="shared" si="0"/>
        <v>Murata Electronics</v>
      </c>
      <c r="P16" t="str">
        <f t="shared" si="1"/>
        <v>LQM2MPN2R2MG0L</v>
      </c>
    </row>
    <row r="17" spans="1:16" x14ac:dyDescent="0.45">
      <c r="A17" s="2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1">
        <v>1</v>
      </c>
      <c r="G17" s="2" t="s">
        <v>104</v>
      </c>
      <c r="H17" s="2" t="s">
        <v>99</v>
      </c>
      <c r="I17" s="1"/>
      <c r="J17" s="1"/>
      <c r="K17" s="1"/>
      <c r="L17" s="1"/>
      <c r="M17" s="2" t="s">
        <v>53</v>
      </c>
      <c r="N17" s="2" t="s">
        <v>105</v>
      </c>
      <c r="O17" t="str">
        <f t="shared" si="0"/>
        <v>Murata</v>
      </c>
      <c r="P17" t="str">
        <f t="shared" si="1"/>
        <v>LQG15HS47NJ02D</v>
      </c>
    </row>
    <row r="18" spans="1:16" x14ac:dyDescent="0.45">
      <c r="A18" s="2" t="s">
        <v>106</v>
      </c>
      <c r="B18" s="2" t="s">
        <v>107</v>
      </c>
      <c r="C18" s="2" t="s">
        <v>108</v>
      </c>
      <c r="D18" s="2" t="s">
        <v>106</v>
      </c>
      <c r="E18" s="2" t="s">
        <v>106</v>
      </c>
      <c r="F18" s="1">
        <v>1</v>
      </c>
      <c r="G18" s="1"/>
      <c r="H18" s="2" t="s">
        <v>106</v>
      </c>
      <c r="I18" s="1"/>
      <c r="J18" s="1"/>
      <c r="K18" s="1"/>
      <c r="L18" s="2" t="s">
        <v>26</v>
      </c>
      <c r="M18" s="1"/>
      <c r="N18" s="1"/>
      <c r="O18" t="str">
        <f t="shared" si="0"/>
        <v>Texas Instruments</v>
      </c>
      <c r="P18" t="str">
        <f t="shared" si="1"/>
        <v>LMR43620MC3RPERQ1</v>
      </c>
    </row>
    <row r="19" spans="1:16" x14ac:dyDescent="0.45">
      <c r="A19" s="2" t="s">
        <v>109</v>
      </c>
      <c r="B19" s="2" t="s">
        <v>110</v>
      </c>
      <c r="C19" s="2" t="s">
        <v>111</v>
      </c>
      <c r="D19" s="2" t="s">
        <v>112</v>
      </c>
      <c r="E19" s="2" t="s">
        <v>113</v>
      </c>
      <c r="F19" s="1">
        <v>7</v>
      </c>
      <c r="G19" s="1"/>
      <c r="H19" s="2" t="s">
        <v>113</v>
      </c>
      <c r="I19" s="1"/>
      <c r="J19" s="1"/>
      <c r="K19" s="1"/>
      <c r="L19" s="2" t="s">
        <v>114</v>
      </c>
      <c r="M19" s="1"/>
      <c r="N19" s="1"/>
      <c r="O19" t="str">
        <f t="shared" si="0"/>
        <v>TAIYO YUDEN</v>
      </c>
      <c r="P19" t="str">
        <f t="shared" si="1"/>
        <v>LMK212AB7106MG-T</v>
      </c>
    </row>
    <row r="20" spans="1:16" x14ac:dyDescent="0.45">
      <c r="A20" s="2" t="s">
        <v>115</v>
      </c>
      <c r="B20" s="2" t="s">
        <v>116</v>
      </c>
      <c r="C20" s="2" t="s">
        <v>117</v>
      </c>
      <c r="D20" s="2" t="s">
        <v>118</v>
      </c>
      <c r="E20" s="2" t="s">
        <v>115</v>
      </c>
      <c r="F20" s="1">
        <v>2</v>
      </c>
      <c r="G20" s="2" t="s">
        <v>26</v>
      </c>
      <c r="H20" s="2" t="s">
        <v>115</v>
      </c>
      <c r="I20" s="1"/>
      <c r="J20" s="1"/>
      <c r="K20" s="1"/>
      <c r="L20" s="1"/>
      <c r="M20" s="2" t="s">
        <v>53</v>
      </c>
      <c r="N20" s="2" t="s">
        <v>119</v>
      </c>
      <c r="O20" t="str">
        <f t="shared" si="0"/>
        <v>Texas Instruments</v>
      </c>
      <c r="P20" t="str">
        <f t="shared" si="1"/>
        <v>ISOUSB111DWXR</v>
      </c>
    </row>
    <row r="21" spans="1:16" x14ac:dyDescent="0.45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124</v>
      </c>
      <c r="F21" s="1">
        <v>1</v>
      </c>
      <c r="G21" s="2" t="s">
        <v>41</v>
      </c>
      <c r="H21" s="2" t="s">
        <v>120</v>
      </c>
      <c r="I21" s="1"/>
      <c r="J21" s="1"/>
      <c r="K21" s="1"/>
      <c r="L21" s="1"/>
      <c r="M21" s="2" t="s">
        <v>53</v>
      </c>
      <c r="N21" s="2" t="s">
        <v>125</v>
      </c>
      <c r="O21" t="str">
        <f t="shared" si="0"/>
        <v>STMicroelectronics</v>
      </c>
      <c r="P21" t="str">
        <f t="shared" si="1"/>
        <v>ISM330DHCXTR</v>
      </c>
    </row>
    <row r="22" spans="1:16" x14ac:dyDescent="0.45">
      <c r="A22" s="2" t="s">
        <v>109</v>
      </c>
      <c r="B22" s="2" t="s">
        <v>126</v>
      </c>
      <c r="C22" s="2" t="s">
        <v>127</v>
      </c>
      <c r="D22" s="2" t="s">
        <v>128</v>
      </c>
      <c r="E22" s="2" t="s">
        <v>129</v>
      </c>
      <c r="F22" s="1">
        <v>3</v>
      </c>
      <c r="G22" s="2" t="s">
        <v>104</v>
      </c>
      <c r="H22" s="2" t="s">
        <v>129</v>
      </c>
      <c r="I22" s="1"/>
      <c r="J22" s="1"/>
      <c r="K22" s="1"/>
      <c r="L22" s="1"/>
      <c r="M22" s="2" t="s">
        <v>130</v>
      </c>
      <c r="N22" s="2" t="s">
        <v>131</v>
      </c>
      <c r="O22" t="str">
        <f t="shared" si="0"/>
        <v>Murata</v>
      </c>
      <c r="P22" t="str">
        <f t="shared" si="1"/>
        <v>GRM188R61E106MA73D</v>
      </c>
    </row>
    <row r="23" spans="1:16" x14ac:dyDescent="0.45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136</v>
      </c>
      <c r="F23" s="1">
        <v>4</v>
      </c>
      <c r="G23" s="2" t="s">
        <v>104</v>
      </c>
      <c r="H23" s="2" t="s">
        <v>136</v>
      </c>
      <c r="I23" s="1"/>
      <c r="J23" s="1"/>
      <c r="K23" s="1"/>
      <c r="L23" s="1"/>
      <c r="M23" s="1"/>
      <c r="N23" s="1"/>
      <c r="O23" t="str">
        <f t="shared" si="0"/>
        <v>Murata</v>
      </c>
      <c r="P23" t="str">
        <f t="shared" si="1"/>
        <v>GRM155R71H104KE14J</v>
      </c>
    </row>
    <row r="24" spans="1:16" x14ac:dyDescent="0.45">
      <c r="A24" s="2" t="s">
        <v>137</v>
      </c>
      <c r="B24" s="2" t="s">
        <v>133</v>
      </c>
      <c r="C24" s="2" t="s">
        <v>138</v>
      </c>
      <c r="D24" s="2" t="s">
        <v>139</v>
      </c>
      <c r="E24" s="2" t="s">
        <v>136</v>
      </c>
      <c r="F24" s="1">
        <v>2</v>
      </c>
      <c r="G24" s="2" t="s">
        <v>104</v>
      </c>
      <c r="H24" s="2" t="s">
        <v>136</v>
      </c>
      <c r="I24" s="1"/>
      <c r="J24" s="1"/>
      <c r="K24" s="1"/>
      <c r="L24" s="1"/>
      <c r="M24" s="1"/>
      <c r="N24" s="1"/>
      <c r="O24" t="str">
        <f t="shared" si="0"/>
        <v>Murata</v>
      </c>
      <c r="P24" t="str">
        <f t="shared" si="1"/>
        <v>GRM155R71H104KE14J</v>
      </c>
    </row>
    <row r="25" spans="1:16" x14ac:dyDescent="0.45">
      <c r="A25" s="2" t="s">
        <v>140</v>
      </c>
      <c r="B25" s="2" t="s">
        <v>141</v>
      </c>
      <c r="C25" s="2" t="s">
        <v>142</v>
      </c>
      <c r="D25" s="2" t="s">
        <v>143</v>
      </c>
      <c r="E25" s="2" t="s">
        <v>144</v>
      </c>
      <c r="F25" s="1">
        <v>3</v>
      </c>
      <c r="G25" s="1"/>
      <c r="H25" s="2" t="s">
        <v>144</v>
      </c>
      <c r="I25" s="1"/>
      <c r="J25" s="1"/>
      <c r="K25" s="1"/>
      <c r="L25" s="2" t="s">
        <v>98</v>
      </c>
      <c r="M25" s="1"/>
      <c r="N25" s="1"/>
      <c r="O25" t="str">
        <f t="shared" si="0"/>
        <v>Murata Electronics</v>
      </c>
      <c r="P25" t="str">
        <f t="shared" si="1"/>
        <v>GRM155R71H103KA88D</v>
      </c>
    </row>
    <row r="26" spans="1:16" x14ac:dyDescent="0.45">
      <c r="A26" s="2" t="s">
        <v>132</v>
      </c>
      <c r="B26" s="2" t="s">
        <v>145</v>
      </c>
      <c r="C26" s="2" t="s">
        <v>146</v>
      </c>
      <c r="D26" s="2" t="s">
        <v>139</v>
      </c>
      <c r="E26" s="2" t="s">
        <v>147</v>
      </c>
      <c r="F26" s="1">
        <v>9</v>
      </c>
      <c r="G26" s="2" t="s">
        <v>104</v>
      </c>
      <c r="H26" s="2" t="s">
        <v>148</v>
      </c>
      <c r="I26" s="2" t="s">
        <v>149</v>
      </c>
      <c r="J26" s="1"/>
      <c r="K26" s="1"/>
      <c r="L26" s="1"/>
      <c r="M26" s="1"/>
      <c r="N26" s="1"/>
      <c r="O26" t="str">
        <f t="shared" si="0"/>
        <v>Murata</v>
      </c>
      <c r="P26" t="str">
        <f t="shared" si="1"/>
        <v>GRM155R71C104KA88J, GRM155R71H104KE14J</v>
      </c>
    </row>
    <row r="27" spans="1:16" x14ac:dyDescent="0.45">
      <c r="A27" s="2" t="s">
        <v>109</v>
      </c>
      <c r="B27" s="2" t="s">
        <v>150</v>
      </c>
      <c r="C27" s="2" t="s">
        <v>151</v>
      </c>
      <c r="D27" s="2" t="s">
        <v>143</v>
      </c>
      <c r="E27" s="2" t="s">
        <v>152</v>
      </c>
      <c r="F27" s="1">
        <v>2</v>
      </c>
      <c r="G27" s="1"/>
      <c r="H27" s="2" t="s">
        <v>152</v>
      </c>
      <c r="I27" s="1"/>
      <c r="J27" s="1"/>
      <c r="K27" s="1"/>
      <c r="L27" s="2" t="s">
        <v>98</v>
      </c>
      <c r="M27" s="1"/>
      <c r="N27" s="1"/>
      <c r="O27" t="str">
        <f t="shared" si="0"/>
        <v>Murata Electronics</v>
      </c>
      <c r="P27" t="str">
        <f t="shared" si="1"/>
        <v>GRM155R61A106ME11D</v>
      </c>
    </row>
    <row r="28" spans="1:16" x14ac:dyDescent="0.45">
      <c r="A28" s="2" t="s">
        <v>153</v>
      </c>
      <c r="B28" s="2" t="s">
        <v>154</v>
      </c>
      <c r="C28" s="2" t="s">
        <v>155</v>
      </c>
      <c r="D28" s="2" t="s">
        <v>156</v>
      </c>
      <c r="E28" s="2" t="s">
        <v>157</v>
      </c>
      <c r="F28" s="1">
        <v>2</v>
      </c>
      <c r="G28" s="1"/>
      <c r="H28" s="2" t="s">
        <v>157</v>
      </c>
      <c r="I28" s="1"/>
      <c r="J28" s="1"/>
      <c r="K28" s="1"/>
      <c r="L28" s="2" t="s">
        <v>98</v>
      </c>
      <c r="M28" s="1"/>
      <c r="N28" s="1"/>
      <c r="O28" t="str">
        <f t="shared" si="0"/>
        <v>Murata Electronics</v>
      </c>
      <c r="P28" t="str">
        <f t="shared" si="1"/>
        <v>GRM155R6YA105KE11D</v>
      </c>
    </row>
    <row r="29" spans="1:16" x14ac:dyDescent="0.45">
      <c r="A29" s="2" t="s">
        <v>153</v>
      </c>
      <c r="B29" s="2" t="s">
        <v>158</v>
      </c>
      <c r="C29" s="2" t="s">
        <v>159</v>
      </c>
      <c r="D29" s="2" t="s">
        <v>160</v>
      </c>
      <c r="E29" s="2" t="s">
        <v>161</v>
      </c>
      <c r="F29" s="1">
        <v>2</v>
      </c>
      <c r="G29" s="2" t="s">
        <v>104</v>
      </c>
      <c r="H29" s="2" t="s">
        <v>162</v>
      </c>
      <c r="I29" s="1"/>
      <c r="J29" s="1"/>
      <c r="K29" s="1"/>
      <c r="L29" s="1"/>
      <c r="M29" s="1"/>
      <c r="N29" s="1"/>
      <c r="O29" t="str">
        <f t="shared" si="0"/>
        <v>Murata</v>
      </c>
      <c r="P29" t="str">
        <f t="shared" si="1"/>
        <v>GRM155C81C105KE11D</v>
      </c>
    </row>
    <row r="30" spans="1:16" x14ac:dyDescent="0.45">
      <c r="A30" s="2" t="s">
        <v>163</v>
      </c>
      <c r="B30" s="2" t="s">
        <v>164</v>
      </c>
      <c r="C30" s="2" t="s">
        <v>165</v>
      </c>
      <c r="D30" s="2" t="s">
        <v>166</v>
      </c>
      <c r="E30" s="2" t="s">
        <v>167</v>
      </c>
      <c r="F30" s="1">
        <v>1</v>
      </c>
      <c r="G30" s="1"/>
      <c r="H30" s="2" t="s">
        <v>167</v>
      </c>
      <c r="I30" s="1"/>
      <c r="J30" s="1"/>
      <c r="K30" s="1"/>
      <c r="L30" s="2" t="s">
        <v>98</v>
      </c>
      <c r="M30" s="1"/>
      <c r="N30" s="1"/>
      <c r="O30" t="str">
        <f t="shared" si="0"/>
        <v>Murata Electronics</v>
      </c>
      <c r="P30" t="str">
        <f t="shared" si="1"/>
        <v>GRM21BR61H475KE51L</v>
      </c>
    </row>
    <row r="31" spans="1:16" x14ac:dyDescent="0.45">
      <c r="A31" s="2" t="s">
        <v>168</v>
      </c>
      <c r="B31" s="2" t="s">
        <v>169</v>
      </c>
      <c r="C31" s="2" t="s">
        <v>170</v>
      </c>
      <c r="D31" s="2" t="s">
        <v>171</v>
      </c>
      <c r="E31" s="2" t="s">
        <v>172</v>
      </c>
      <c r="F31" s="1">
        <v>1</v>
      </c>
      <c r="G31" s="2" t="s">
        <v>173</v>
      </c>
      <c r="H31" s="2" t="s">
        <v>168</v>
      </c>
      <c r="I31" s="1"/>
      <c r="J31" s="1"/>
      <c r="K31" s="1"/>
      <c r="L31" s="1"/>
      <c r="M31" s="2" t="s">
        <v>174</v>
      </c>
      <c r="N31" s="2" t="s">
        <v>175</v>
      </c>
      <c r="O31" t="str">
        <f t="shared" si="0"/>
        <v>Panasonic</v>
      </c>
      <c r="P31" t="str">
        <f t="shared" si="1"/>
        <v>EVP-AA002K</v>
      </c>
    </row>
    <row r="32" spans="1:16" x14ac:dyDescent="0.45">
      <c r="A32" s="2" t="s">
        <v>176</v>
      </c>
      <c r="B32" s="2" t="s">
        <v>177</v>
      </c>
      <c r="C32" s="2" t="s">
        <v>178</v>
      </c>
      <c r="D32" s="2" t="s">
        <v>179</v>
      </c>
      <c r="E32" s="2" t="s">
        <v>180</v>
      </c>
      <c r="F32" s="1">
        <v>6</v>
      </c>
      <c r="G32" s="1"/>
      <c r="H32" s="2" t="s">
        <v>180</v>
      </c>
      <c r="I32" s="1"/>
      <c r="J32" s="1"/>
      <c r="K32" s="1"/>
      <c r="L32" s="2" t="s">
        <v>173</v>
      </c>
      <c r="M32" s="1"/>
      <c r="N32" s="1"/>
      <c r="O32" t="str">
        <f t="shared" si="0"/>
        <v>Panasonic</v>
      </c>
      <c r="P32" t="str">
        <f t="shared" si="1"/>
        <v>ERJ-UP6D5101V</v>
      </c>
    </row>
    <row r="33" spans="1:16" x14ac:dyDescent="0.45">
      <c r="A33" s="2" t="s">
        <v>181</v>
      </c>
      <c r="B33" s="2" t="s">
        <v>182</v>
      </c>
      <c r="C33" s="2" t="s">
        <v>183</v>
      </c>
      <c r="D33" s="2" t="s">
        <v>184</v>
      </c>
      <c r="E33" s="2" t="s">
        <v>185</v>
      </c>
      <c r="F33" s="1">
        <v>7</v>
      </c>
      <c r="G33" s="1"/>
      <c r="H33" s="2" t="s">
        <v>185</v>
      </c>
      <c r="I33" s="1"/>
      <c r="J33" s="1"/>
      <c r="K33" s="1"/>
      <c r="L33" s="2" t="s">
        <v>173</v>
      </c>
      <c r="M33" s="1"/>
      <c r="N33" s="1"/>
      <c r="O33" t="str">
        <f t="shared" si="0"/>
        <v>Panasonic</v>
      </c>
      <c r="P33" t="str">
        <f t="shared" si="1"/>
        <v>ERJ-6GEYJ103V</v>
      </c>
    </row>
    <row r="34" spans="1:16" x14ac:dyDescent="0.45">
      <c r="A34" s="2" t="s">
        <v>181</v>
      </c>
      <c r="B34" s="2" t="s">
        <v>186</v>
      </c>
      <c r="C34" s="2" t="s">
        <v>187</v>
      </c>
      <c r="D34" s="2" t="s">
        <v>188</v>
      </c>
      <c r="E34" s="2" t="s">
        <v>189</v>
      </c>
      <c r="F34" s="1">
        <v>4</v>
      </c>
      <c r="G34" s="2" t="s">
        <v>173</v>
      </c>
      <c r="H34" s="2" t="s">
        <v>190</v>
      </c>
      <c r="I34" s="1"/>
      <c r="J34" s="1"/>
      <c r="K34" s="1"/>
      <c r="L34" s="1"/>
      <c r="M34" s="1"/>
      <c r="N34" s="1"/>
      <c r="O34" t="str">
        <f t="shared" si="0"/>
        <v>Panasonic</v>
      </c>
      <c r="P34" t="str">
        <f t="shared" si="1"/>
        <v>ERJ-2GEJ103X</v>
      </c>
    </row>
    <row r="35" spans="1:16" x14ac:dyDescent="0.45">
      <c r="A35" s="2" t="s">
        <v>191</v>
      </c>
      <c r="B35" s="2" t="s">
        <v>192</v>
      </c>
      <c r="C35" s="2" t="s">
        <v>193</v>
      </c>
      <c r="D35" s="2" t="s">
        <v>194</v>
      </c>
      <c r="E35" s="2" t="s">
        <v>195</v>
      </c>
      <c r="F35" s="1">
        <v>2</v>
      </c>
      <c r="G35" s="1"/>
      <c r="H35" s="2" t="s">
        <v>196</v>
      </c>
      <c r="I35" s="2" t="s">
        <v>196</v>
      </c>
      <c r="J35" s="1"/>
      <c r="K35" s="1"/>
      <c r="L35" s="1"/>
      <c r="M35" s="1"/>
      <c r="N35" s="1"/>
      <c r="O35" t="str">
        <f t="shared" si="0"/>
        <v/>
      </c>
      <c r="P35" t="str">
        <f t="shared" si="1"/>
        <v>ERA6AEB750V</v>
      </c>
    </row>
    <row r="36" spans="1:16" x14ac:dyDescent="0.45">
      <c r="A36" s="2" t="s">
        <v>197</v>
      </c>
      <c r="B36" s="2" t="s">
        <v>198</v>
      </c>
      <c r="C36" s="2" t="s">
        <v>199</v>
      </c>
      <c r="D36" s="2" t="s">
        <v>200</v>
      </c>
      <c r="E36" s="2" t="s">
        <v>201</v>
      </c>
      <c r="F36" s="1">
        <v>4</v>
      </c>
      <c r="G36" s="2" t="s">
        <v>173</v>
      </c>
      <c r="H36" s="2" t="s">
        <v>202</v>
      </c>
      <c r="I36" s="1"/>
      <c r="J36" s="1"/>
      <c r="K36" s="1"/>
      <c r="L36" s="1"/>
      <c r="M36" s="1"/>
      <c r="N36" s="1"/>
      <c r="O36" t="str">
        <f t="shared" si="0"/>
        <v>Panasonic</v>
      </c>
      <c r="P36" t="str">
        <f t="shared" si="1"/>
        <v>ERA6AEB222V</v>
      </c>
    </row>
    <row r="37" spans="1:16" x14ac:dyDescent="0.45">
      <c r="A37" s="2" t="s">
        <v>203</v>
      </c>
      <c r="B37" s="2" t="s">
        <v>204</v>
      </c>
      <c r="C37" s="2" t="s">
        <v>205</v>
      </c>
      <c r="D37" s="2" t="s">
        <v>206</v>
      </c>
      <c r="E37" s="2" t="s">
        <v>207</v>
      </c>
      <c r="F37" s="1">
        <v>1</v>
      </c>
      <c r="G37" s="1"/>
      <c r="H37" s="2" t="s">
        <v>207</v>
      </c>
      <c r="I37" s="1"/>
      <c r="J37" s="1"/>
      <c r="K37" s="1"/>
      <c r="L37" s="2" t="s">
        <v>208</v>
      </c>
      <c r="M37" s="1"/>
      <c r="N37" s="1"/>
      <c r="O37" t="str">
        <f t="shared" si="0"/>
        <v>Eaton</v>
      </c>
      <c r="P37" t="str">
        <f t="shared" si="1"/>
        <v>DR73-6R8-R</v>
      </c>
    </row>
    <row r="38" spans="1:16" x14ac:dyDescent="0.45">
      <c r="A38" s="2" t="s">
        <v>209</v>
      </c>
      <c r="B38" s="2" t="s">
        <v>210</v>
      </c>
      <c r="C38" s="2" t="s">
        <v>211</v>
      </c>
      <c r="D38" s="2" t="s">
        <v>212</v>
      </c>
      <c r="E38" s="2" t="s">
        <v>209</v>
      </c>
      <c r="F38" s="1">
        <v>1</v>
      </c>
      <c r="G38" s="2" t="s">
        <v>26</v>
      </c>
      <c r="H38" s="2" t="s">
        <v>209</v>
      </c>
      <c r="I38" s="1"/>
      <c r="J38" s="1"/>
      <c r="K38" s="1"/>
      <c r="L38" s="1"/>
      <c r="M38" s="2" t="s">
        <v>53</v>
      </c>
      <c r="N38" s="2" t="s">
        <v>213</v>
      </c>
      <c r="O38" t="str">
        <f t="shared" si="0"/>
        <v>Texas Instruments</v>
      </c>
      <c r="P38" t="str">
        <f t="shared" si="1"/>
        <v>DP83826ERHBR</v>
      </c>
    </row>
    <row r="39" spans="1:16" x14ac:dyDescent="0.45">
      <c r="A39" s="2" t="s">
        <v>214</v>
      </c>
      <c r="B39" s="2" t="s">
        <v>215</v>
      </c>
      <c r="C39" s="2" t="s">
        <v>216</v>
      </c>
      <c r="D39" s="2" t="s">
        <v>217</v>
      </c>
      <c r="E39" s="2" t="s">
        <v>218</v>
      </c>
      <c r="F39" s="1">
        <v>8</v>
      </c>
      <c r="G39" s="2" t="s">
        <v>219</v>
      </c>
      <c r="H39" s="2" t="s">
        <v>220</v>
      </c>
      <c r="I39" s="2" t="s">
        <v>220</v>
      </c>
      <c r="J39" s="1"/>
      <c r="K39" s="1"/>
      <c r="L39" s="1"/>
      <c r="M39" s="1"/>
      <c r="N39" s="1"/>
      <c r="O39" t="str">
        <f t="shared" si="0"/>
        <v>Vishay Dale</v>
      </c>
      <c r="P39" t="str">
        <f t="shared" si="1"/>
        <v>CRCW04020000Z0EDHP</v>
      </c>
    </row>
    <row r="40" spans="1:16" x14ac:dyDescent="0.45">
      <c r="A40" s="2" t="s">
        <v>214</v>
      </c>
      <c r="B40" s="2" t="s">
        <v>215</v>
      </c>
      <c r="C40" s="2" t="s">
        <v>221</v>
      </c>
      <c r="D40" s="2" t="s">
        <v>222</v>
      </c>
      <c r="E40" s="2" t="s">
        <v>223</v>
      </c>
      <c r="F40" s="1">
        <v>1</v>
      </c>
      <c r="G40" s="2" t="s">
        <v>219</v>
      </c>
      <c r="H40" s="2" t="s">
        <v>220</v>
      </c>
      <c r="I40" s="1"/>
      <c r="J40" s="1"/>
      <c r="K40" s="1"/>
      <c r="L40" s="1"/>
      <c r="M40" s="1"/>
      <c r="N40" s="1"/>
      <c r="O40" t="str">
        <f t="shared" si="0"/>
        <v>Vishay Dale</v>
      </c>
      <c r="P40" t="str">
        <f t="shared" si="1"/>
        <v>CRCW04020000Z0EDHP</v>
      </c>
    </row>
    <row r="41" spans="1:16" x14ac:dyDescent="0.45">
      <c r="A41" s="2" t="s">
        <v>137</v>
      </c>
      <c r="B41" s="2" t="s">
        <v>215</v>
      </c>
      <c r="C41" s="2" t="s">
        <v>224</v>
      </c>
      <c r="D41" s="2" t="s">
        <v>222</v>
      </c>
      <c r="E41" s="2" t="s">
        <v>223</v>
      </c>
      <c r="F41" s="1">
        <v>1</v>
      </c>
      <c r="G41" s="2" t="s">
        <v>219</v>
      </c>
      <c r="H41" s="2" t="s">
        <v>220</v>
      </c>
      <c r="I41" s="1"/>
      <c r="J41" s="1"/>
      <c r="K41" s="1"/>
      <c r="L41" s="1"/>
      <c r="M41" s="1"/>
      <c r="N41" s="1"/>
      <c r="O41" t="str">
        <f t="shared" si="0"/>
        <v>Vishay Dale</v>
      </c>
      <c r="P41" t="str">
        <f t="shared" si="1"/>
        <v>CRCW04020000Z0EDHP</v>
      </c>
    </row>
    <row r="42" spans="1:16" x14ac:dyDescent="0.45">
      <c r="A42" s="2" t="s">
        <v>137</v>
      </c>
      <c r="B42" s="2" t="s">
        <v>215</v>
      </c>
      <c r="C42" s="2" t="s">
        <v>225</v>
      </c>
      <c r="D42" s="2" t="s">
        <v>217</v>
      </c>
      <c r="E42" s="2" t="s">
        <v>218</v>
      </c>
      <c r="F42" s="1">
        <v>2</v>
      </c>
      <c r="G42" s="2" t="s">
        <v>219</v>
      </c>
      <c r="H42" s="2" t="s">
        <v>220</v>
      </c>
      <c r="I42" s="2" t="s">
        <v>220</v>
      </c>
      <c r="J42" s="1"/>
      <c r="K42" s="1"/>
      <c r="L42" s="1"/>
      <c r="M42" s="1"/>
      <c r="N42" s="1"/>
      <c r="O42" t="str">
        <f t="shared" si="0"/>
        <v>Vishay Dale</v>
      </c>
      <c r="P42" t="str">
        <f t="shared" si="1"/>
        <v>CRCW04020000Z0EDHP</v>
      </c>
    </row>
    <row r="43" spans="1:16" x14ac:dyDescent="0.45">
      <c r="A43" s="2" t="s">
        <v>226</v>
      </c>
      <c r="B43" s="2" t="s">
        <v>227</v>
      </c>
      <c r="C43" s="2" t="s">
        <v>228</v>
      </c>
      <c r="D43" s="2" t="s">
        <v>229</v>
      </c>
      <c r="E43" s="2" t="s">
        <v>230</v>
      </c>
      <c r="F43" s="1">
        <v>2</v>
      </c>
      <c r="G43" s="2" t="s">
        <v>231</v>
      </c>
      <c r="H43" s="2" t="s">
        <v>407</v>
      </c>
      <c r="I43" s="1"/>
      <c r="J43" s="1"/>
      <c r="K43" s="1"/>
      <c r="L43" s="1"/>
      <c r="M43" s="2" t="s">
        <v>232</v>
      </c>
      <c r="N43" s="2" t="s">
        <v>233</v>
      </c>
      <c r="O43" t="str">
        <f t="shared" si="0"/>
        <v>Vishay, [NoParam]</v>
      </c>
      <c r="P43" t="str">
        <f t="shared" si="1"/>
        <v>CRCW0603100KFKTC</v>
      </c>
    </row>
    <row r="44" spans="1:16" x14ac:dyDescent="0.45">
      <c r="A44" s="2" t="s">
        <v>234</v>
      </c>
      <c r="B44" s="2" t="s">
        <v>235</v>
      </c>
      <c r="C44" s="2" t="s">
        <v>236</v>
      </c>
      <c r="D44" s="2" t="s">
        <v>237</v>
      </c>
      <c r="E44" s="2" t="s">
        <v>238</v>
      </c>
      <c r="F44" s="1">
        <v>1</v>
      </c>
      <c r="G44" s="2" t="s">
        <v>219</v>
      </c>
      <c r="H44" s="2" t="s">
        <v>239</v>
      </c>
      <c r="I44" s="1"/>
      <c r="J44" s="1"/>
      <c r="K44" s="1"/>
      <c r="L44" s="1"/>
      <c r="M44" s="1"/>
      <c r="N44" s="1"/>
      <c r="O44" t="str">
        <f t="shared" si="0"/>
        <v>Vishay Dale</v>
      </c>
      <c r="P44" t="str">
        <f t="shared" si="1"/>
        <v>CRCW04026K49FKED</v>
      </c>
    </row>
    <row r="45" spans="1:16" x14ac:dyDescent="0.45">
      <c r="A45" s="2" t="s">
        <v>240</v>
      </c>
      <c r="B45" s="2" t="s">
        <v>241</v>
      </c>
      <c r="C45" s="2" t="s">
        <v>242</v>
      </c>
      <c r="D45" s="2" t="s">
        <v>243</v>
      </c>
      <c r="E45" s="2" t="s">
        <v>244</v>
      </c>
      <c r="F45" s="1">
        <v>1</v>
      </c>
      <c r="G45" s="2" t="s">
        <v>245</v>
      </c>
      <c r="H45" s="2" t="s">
        <v>246</v>
      </c>
      <c r="I45" s="1"/>
      <c r="J45" s="1"/>
      <c r="K45" s="1"/>
      <c r="L45" s="1"/>
      <c r="M45" s="2" t="s">
        <v>53</v>
      </c>
      <c r="N45" s="2" t="s">
        <v>247</v>
      </c>
      <c r="O45" t="str">
        <f t="shared" si="0"/>
        <v>Yageo</v>
      </c>
      <c r="P45" t="str">
        <f t="shared" si="1"/>
        <v>CR0603-FX-10R0ELF</v>
      </c>
    </row>
    <row r="46" spans="1:16" x14ac:dyDescent="0.45">
      <c r="A46" s="2" t="s">
        <v>248</v>
      </c>
      <c r="B46" s="2" t="s">
        <v>249</v>
      </c>
      <c r="C46" s="2" t="s">
        <v>250</v>
      </c>
      <c r="D46" s="2" t="s">
        <v>251</v>
      </c>
      <c r="E46" s="2" t="s">
        <v>252</v>
      </c>
      <c r="F46" s="1">
        <v>1</v>
      </c>
      <c r="G46" s="1"/>
      <c r="H46" s="2" t="s">
        <v>252</v>
      </c>
      <c r="I46" s="1"/>
      <c r="J46" s="1"/>
      <c r="K46" s="1"/>
      <c r="L46" s="2" t="s">
        <v>253</v>
      </c>
      <c r="M46" s="1"/>
      <c r="N46" s="1"/>
      <c r="O46" t="str">
        <f t="shared" si="0"/>
        <v>SAMSUNG</v>
      </c>
      <c r="P46" t="str">
        <f t="shared" si="1"/>
        <v>CL31B102KJHNNNE</v>
      </c>
    </row>
    <row r="47" spans="1:16" x14ac:dyDescent="0.45">
      <c r="A47" s="2" t="s">
        <v>137</v>
      </c>
      <c r="B47" s="2" t="s">
        <v>249</v>
      </c>
      <c r="C47" s="2" t="s">
        <v>254</v>
      </c>
      <c r="D47" s="2" t="s">
        <v>251</v>
      </c>
      <c r="E47" s="2" t="s">
        <v>252</v>
      </c>
      <c r="F47" s="1">
        <v>2</v>
      </c>
      <c r="G47" s="1"/>
      <c r="H47" s="2" t="s">
        <v>252</v>
      </c>
      <c r="I47" s="1"/>
      <c r="J47" s="1"/>
      <c r="K47" s="1"/>
      <c r="L47" s="2" t="s">
        <v>253</v>
      </c>
      <c r="M47" s="1"/>
      <c r="N47" s="1"/>
      <c r="O47" t="str">
        <f t="shared" si="0"/>
        <v>SAMSUNG</v>
      </c>
      <c r="P47" t="str">
        <f t="shared" si="1"/>
        <v>CL31B102KJHNNNE</v>
      </c>
    </row>
    <row r="48" spans="1:16" x14ac:dyDescent="0.45">
      <c r="A48" s="2" t="s">
        <v>255</v>
      </c>
      <c r="B48" s="2" t="s">
        <v>256</v>
      </c>
      <c r="C48" s="2" t="s">
        <v>257</v>
      </c>
      <c r="D48" s="2" t="s">
        <v>258</v>
      </c>
      <c r="E48" s="2" t="s">
        <v>259</v>
      </c>
      <c r="F48" s="1">
        <v>2</v>
      </c>
      <c r="G48" s="1"/>
      <c r="H48" s="2" t="s">
        <v>259</v>
      </c>
      <c r="I48" s="1"/>
      <c r="J48" s="1"/>
      <c r="K48" s="1"/>
      <c r="L48" s="2" t="s">
        <v>253</v>
      </c>
      <c r="M48" s="1"/>
      <c r="N48" s="1"/>
      <c r="O48" t="str">
        <f t="shared" si="0"/>
        <v>SAMSUNG</v>
      </c>
      <c r="P48" t="str">
        <f t="shared" si="1"/>
        <v>CL10B475KQ8NQNC</v>
      </c>
    </row>
    <row r="49" spans="1:16" x14ac:dyDescent="0.45">
      <c r="A49" s="2" t="s">
        <v>153</v>
      </c>
      <c r="B49" s="2" t="s">
        <v>260</v>
      </c>
      <c r="C49" s="2" t="s">
        <v>261</v>
      </c>
      <c r="D49" s="2" t="s">
        <v>262</v>
      </c>
      <c r="E49" s="2" t="s">
        <v>263</v>
      </c>
      <c r="F49" s="1">
        <v>4</v>
      </c>
      <c r="G49" s="1"/>
      <c r="H49" s="2" t="s">
        <v>263</v>
      </c>
      <c r="I49" s="1"/>
      <c r="J49" s="1"/>
      <c r="K49" s="1"/>
      <c r="L49" s="2" t="s">
        <v>253</v>
      </c>
      <c r="M49" s="1"/>
      <c r="N49" s="1"/>
      <c r="O49" t="str">
        <f t="shared" si="0"/>
        <v>SAMSUNG</v>
      </c>
      <c r="P49" t="str">
        <f t="shared" si="1"/>
        <v>CL10B105KP8NNNC</v>
      </c>
    </row>
    <row r="50" spans="1:16" x14ac:dyDescent="0.45">
      <c r="A50" s="2" t="s">
        <v>264</v>
      </c>
      <c r="B50" s="1"/>
      <c r="C50" s="2" t="s">
        <v>265</v>
      </c>
      <c r="D50" s="2" t="s">
        <v>266</v>
      </c>
      <c r="E50" s="2" t="s">
        <v>267</v>
      </c>
      <c r="F50" s="1">
        <v>1</v>
      </c>
      <c r="G50" s="2" t="s">
        <v>268</v>
      </c>
      <c r="H50" s="2" t="s">
        <v>269</v>
      </c>
      <c r="I50" s="1"/>
      <c r="J50" s="1"/>
      <c r="K50" s="1"/>
      <c r="L50" s="1"/>
      <c r="M50" s="2" t="s">
        <v>53</v>
      </c>
      <c r="N50" s="2" t="s">
        <v>270</v>
      </c>
      <c r="O50" t="str">
        <f t="shared" si="0"/>
        <v>Samsung</v>
      </c>
      <c r="P50" t="str">
        <f t="shared" si="1"/>
        <v>CL05B224KO5NNNC</v>
      </c>
    </row>
    <row r="51" spans="1:16" x14ac:dyDescent="0.45">
      <c r="A51" s="2" t="s">
        <v>132</v>
      </c>
      <c r="B51" s="2" t="s">
        <v>271</v>
      </c>
      <c r="C51" s="2" t="s">
        <v>272</v>
      </c>
      <c r="D51" s="2" t="s">
        <v>262</v>
      </c>
      <c r="E51" s="2" t="s">
        <v>273</v>
      </c>
      <c r="F51" s="1">
        <v>17</v>
      </c>
      <c r="G51" s="1"/>
      <c r="H51" s="2" t="s">
        <v>273</v>
      </c>
      <c r="I51" s="1"/>
      <c r="J51" s="1"/>
      <c r="K51" s="1"/>
      <c r="L51" s="2" t="s">
        <v>274</v>
      </c>
      <c r="M51" s="1"/>
      <c r="N51" s="1"/>
      <c r="O51" t="str">
        <f t="shared" si="0"/>
        <v>YAGEO</v>
      </c>
      <c r="P51" t="str">
        <f t="shared" si="1"/>
        <v>CC0603KRX7R7BB104</v>
      </c>
    </row>
    <row r="52" spans="1:16" x14ac:dyDescent="0.45">
      <c r="A52" s="2" t="s">
        <v>275</v>
      </c>
      <c r="B52" s="2" t="s">
        <v>276</v>
      </c>
      <c r="C52" s="2" t="s">
        <v>277</v>
      </c>
      <c r="D52" s="2" t="s">
        <v>278</v>
      </c>
      <c r="E52" s="2" t="s">
        <v>279</v>
      </c>
      <c r="F52" s="1">
        <v>3</v>
      </c>
      <c r="G52" s="2" t="s">
        <v>280</v>
      </c>
      <c r="H52" s="2" t="s">
        <v>281</v>
      </c>
      <c r="I52" s="1"/>
      <c r="J52" s="1"/>
      <c r="K52" s="1"/>
      <c r="L52" s="1"/>
      <c r="M52" s="1"/>
      <c r="N52" s="1"/>
      <c r="O52" t="str">
        <f t="shared" si="0"/>
        <v>Kemet</v>
      </c>
      <c r="P52" t="str">
        <f t="shared" si="1"/>
        <v>C1206C105K5RACTU</v>
      </c>
    </row>
    <row r="53" spans="1:16" x14ac:dyDescent="0.45">
      <c r="A53" s="2" t="s">
        <v>282</v>
      </c>
      <c r="B53" s="2" t="s">
        <v>283</v>
      </c>
      <c r="C53" s="2" t="s">
        <v>284</v>
      </c>
      <c r="D53" s="2" t="s">
        <v>285</v>
      </c>
      <c r="E53" s="2" t="s">
        <v>286</v>
      </c>
      <c r="F53" s="1">
        <v>8</v>
      </c>
      <c r="G53" s="2" t="s">
        <v>287</v>
      </c>
      <c r="H53" s="2" t="s">
        <v>288</v>
      </c>
      <c r="I53" s="1"/>
      <c r="J53" s="1"/>
      <c r="K53" s="1"/>
      <c r="L53" s="1"/>
      <c r="M53" s="1"/>
      <c r="N53" s="1"/>
      <c r="O53" t="str">
        <f t="shared" si="0"/>
        <v>KEMET</v>
      </c>
      <c r="P53" t="str">
        <f t="shared" si="1"/>
        <v>C0805C102J5GACTU</v>
      </c>
    </row>
    <row r="54" spans="1:16" x14ac:dyDescent="0.45">
      <c r="A54" s="2" t="s">
        <v>132</v>
      </c>
      <c r="B54" s="2" t="s">
        <v>271</v>
      </c>
      <c r="C54" s="2" t="s">
        <v>289</v>
      </c>
      <c r="D54" s="2" t="s">
        <v>290</v>
      </c>
      <c r="E54" s="2" t="s">
        <v>291</v>
      </c>
      <c r="F54" s="1">
        <v>2</v>
      </c>
      <c r="G54" s="2" t="s">
        <v>287</v>
      </c>
      <c r="H54" s="2" t="s">
        <v>292</v>
      </c>
      <c r="I54" s="1"/>
      <c r="J54" s="1"/>
      <c r="K54" s="1"/>
      <c r="L54" s="1"/>
      <c r="M54" s="1"/>
      <c r="N54" s="1"/>
      <c r="O54" t="str">
        <f t="shared" si="0"/>
        <v>KEMET</v>
      </c>
      <c r="P54" t="str">
        <f t="shared" si="1"/>
        <v>C0603C104K5RACTU</v>
      </c>
    </row>
    <row r="55" spans="1:16" x14ac:dyDescent="0.45">
      <c r="A55" s="2" t="s">
        <v>293</v>
      </c>
      <c r="B55" s="2" t="s">
        <v>294</v>
      </c>
      <c r="C55" s="2" t="s">
        <v>295</v>
      </c>
      <c r="D55" s="2" t="s">
        <v>296</v>
      </c>
      <c r="E55" s="2" t="s">
        <v>297</v>
      </c>
      <c r="F55" s="1">
        <v>2</v>
      </c>
      <c r="G55" s="2" t="s">
        <v>298</v>
      </c>
      <c r="H55" s="2" t="s">
        <v>299</v>
      </c>
      <c r="I55" s="1"/>
      <c r="J55" s="1"/>
      <c r="K55" s="1"/>
      <c r="L55" s="1"/>
      <c r="M55" s="1"/>
      <c r="N55" s="1"/>
      <c r="O55" t="str">
        <f t="shared" si="0"/>
        <v>Yageo Group</v>
      </c>
      <c r="P55" t="str">
        <f t="shared" si="1"/>
        <v>C0603C103K2RAC</v>
      </c>
    </row>
    <row r="56" spans="1:16" x14ac:dyDescent="0.45">
      <c r="A56" s="2" t="s">
        <v>300</v>
      </c>
      <c r="B56" s="2" t="s">
        <v>301</v>
      </c>
      <c r="C56" s="2" t="s">
        <v>302</v>
      </c>
      <c r="D56" s="2" t="s">
        <v>303</v>
      </c>
      <c r="E56" s="2" t="s">
        <v>304</v>
      </c>
      <c r="F56" s="1">
        <v>2</v>
      </c>
      <c r="G56" s="1"/>
      <c r="H56" s="2" t="s">
        <v>304</v>
      </c>
      <c r="I56" s="1"/>
      <c r="J56" s="1"/>
      <c r="K56" s="1"/>
      <c r="L56" s="2" t="s">
        <v>287</v>
      </c>
      <c r="M56" s="1"/>
      <c r="N56" s="1"/>
      <c r="O56" t="str">
        <f t="shared" si="0"/>
        <v>KEMET</v>
      </c>
      <c r="P56" t="str">
        <f t="shared" si="1"/>
        <v>C0402C220K5GACTU</v>
      </c>
    </row>
    <row r="57" spans="1:16" x14ac:dyDescent="0.45">
      <c r="A57" s="2" t="s">
        <v>305</v>
      </c>
      <c r="B57" s="2" t="s">
        <v>306</v>
      </c>
      <c r="C57" s="2" t="s">
        <v>307</v>
      </c>
      <c r="D57" s="2" t="s">
        <v>308</v>
      </c>
      <c r="E57" s="2" t="s">
        <v>309</v>
      </c>
      <c r="F57" s="1">
        <v>6</v>
      </c>
      <c r="G57" s="1"/>
      <c r="H57" s="2" t="s">
        <v>305</v>
      </c>
      <c r="I57" s="1"/>
      <c r="J57" s="1"/>
      <c r="K57" s="1"/>
      <c r="L57" s="1"/>
      <c r="M57" s="1"/>
      <c r="N57" s="1"/>
      <c r="O57" t="str">
        <f t="shared" si="0"/>
        <v/>
      </c>
      <c r="P57" t="str">
        <f t="shared" si="1"/>
        <v>BLM18KG601SN1D</v>
      </c>
    </row>
    <row r="58" spans="1:16" x14ac:dyDescent="0.45">
      <c r="A58" s="2" t="s">
        <v>310</v>
      </c>
      <c r="B58" s="2" t="s">
        <v>311</v>
      </c>
      <c r="C58" s="2" t="s">
        <v>312</v>
      </c>
      <c r="D58" s="2" t="s">
        <v>313</v>
      </c>
      <c r="E58" s="2" t="s">
        <v>310</v>
      </c>
      <c r="F58" s="1">
        <v>1</v>
      </c>
      <c r="G58" s="1"/>
      <c r="H58" s="2" t="s">
        <v>310</v>
      </c>
      <c r="I58" s="1"/>
      <c r="J58" s="1"/>
      <c r="K58" s="2" t="s">
        <v>314</v>
      </c>
      <c r="L58" s="1"/>
      <c r="M58" s="1"/>
      <c r="N58" s="1"/>
      <c r="O58" t="str">
        <f t="shared" si="0"/>
        <v>Silvertel</v>
      </c>
      <c r="P58" t="str">
        <f t="shared" si="1"/>
        <v>AG9905-MTB</v>
      </c>
    </row>
    <row r="59" spans="1:16" x14ac:dyDescent="0.45">
      <c r="A59" s="2" t="s">
        <v>315</v>
      </c>
      <c r="B59" s="2" t="s">
        <v>316</v>
      </c>
      <c r="C59" s="2" t="s">
        <v>317</v>
      </c>
      <c r="D59" s="2" t="s">
        <v>318</v>
      </c>
      <c r="E59" s="2" t="s">
        <v>319</v>
      </c>
      <c r="F59" s="1">
        <v>1</v>
      </c>
      <c r="G59" s="1"/>
      <c r="H59" s="2" t="s">
        <v>315</v>
      </c>
      <c r="I59" s="1"/>
      <c r="J59" s="1"/>
      <c r="K59" s="1"/>
      <c r="L59" s="1"/>
      <c r="M59" s="1"/>
      <c r="N59" s="1"/>
      <c r="O59" t="str">
        <f t="shared" si="0"/>
        <v/>
      </c>
      <c r="P59" t="str">
        <f t="shared" si="1"/>
        <v>ABM8AIG-25.000MHZ-12-2Z-T3</v>
      </c>
    </row>
    <row r="60" spans="1:16" x14ac:dyDescent="0.45">
      <c r="A60" s="2" t="s">
        <v>320</v>
      </c>
      <c r="B60" s="2" t="s">
        <v>321</v>
      </c>
      <c r="C60" s="2" t="s">
        <v>322</v>
      </c>
      <c r="D60" s="2" t="s">
        <v>323</v>
      </c>
      <c r="E60" s="2" t="s">
        <v>320</v>
      </c>
      <c r="F60" s="1">
        <v>2</v>
      </c>
      <c r="G60" s="1"/>
      <c r="H60" s="2" t="s">
        <v>320</v>
      </c>
      <c r="I60" s="1"/>
      <c r="J60" s="1"/>
      <c r="K60" s="1"/>
      <c r="L60" s="1"/>
      <c r="M60" s="1"/>
      <c r="N60" s="1"/>
      <c r="O60" t="str">
        <f t="shared" si="0"/>
        <v/>
      </c>
      <c r="P60" t="str">
        <f t="shared" si="1"/>
        <v>12402012E212A</v>
      </c>
    </row>
    <row r="61" spans="1:16" x14ac:dyDescent="0.45">
      <c r="A61" s="2" t="s">
        <v>324</v>
      </c>
      <c r="B61" s="2" t="s">
        <v>325</v>
      </c>
      <c r="C61" s="2" t="s">
        <v>326</v>
      </c>
      <c r="D61" s="2" t="s">
        <v>327</v>
      </c>
      <c r="E61" s="2" t="s">
        <v>328</v>
      </c>
      <c r="F61" s="1">
        <v>1</v>
      </c>
      <c r="G61" s="1"/>
      <c r="H61" s="2" t="s">
        <v>328</v>
      </c>
      <c r="I61" s="1"/>
      <c r="J61" s="1"/>
      <c r="K61" s="1"/>
      <c r="L61" s="2" t="s">
        <v>329</v>
      </c>
      <c r="M61" s="1"/>
      <c r="N61" s="1"/>
      <c r="O61" t="str">
        <f t="shared" si="0"/>
        <v>Walsin Technology Corporation</v>
      </c>
      <c r="P61" t="str">
        <f t="shared" si="1"/>
        <v>0603B221K500CT</v>
      </c>
    </row>
    <row r="62" spans="1:16" x14ac:dyDescent="0.45">
      <c r="A62" s="2" t="s">
        <v>197</v>
      </c>
      <c r="B62" s="1"/>
      <c r="C62" s="2" t="s">
        <v>330</v>
      </c>
      <c r="D62" s="2" t="s">
        <v>222</v>
      </c>
      <c r="E62" s="2" t="s">
        <v>331</v>
      </c>
      <c r="F62" s="1">
        <v>1</v>
      </c>
      <c r="G62" s="2" t="s">
        <v>332</v>
      </c>
      <c r="H62" s="1"/>
      <c r="I62" s="2" t="s">
        <v>333</v>
      </c>
      <c r="J62" s="1"/>
      <c r="K62" s="1"/>
      <c r="L62" s="1"/>
      <c r="M62" s="1"/>
      <c r="N62" s="1"/>
      <c r="O62" t="str">
        <f t="shared" si="0"/>
        <v>Yageo / Phycomp</v>
      </c>
      <c r="P62" t="str">
        <f t="shared" si="1"/>
        <v>RC0402FR-072K2L</v>
      </c>
    </row>
    <row r="63" spans="1:16" x14ac:dyDescent="0.45">
      <c r="A63" s="2" t="s">
        <v>334</v>
      </c>
      <c r="B63" s="2" t="s">
        <v>335</v>
      </c>
      <c r="C63" s="2" t="s">
        <v>336</v>
      </c>
      <c r="D63" s="2" t="s">
        <v>337</v>
      </c>
      <c r="E63" s="2" t="s">
        <v>338</v>
      </c>
      <c r="F63" s="1">
        <v>8</v>
      </c>
      <c r="G63" s="2" t="s">
        <v>219</v>
      </c>
      <c r="H63" s="1"/>
      <c r="I63" s="2" t="s">
        <v>339</v>
      </c>
      <c r="J63" s="1"/>
      <c r="K63" s="1"/>
      <c r="L63" s="1"/>
      <c r="M63" s="1"/>
      <c r="N63" s="1"/>
      <c r="O63" t="str">
        <f t="shared" si="0"/>
        <v>Vishay Dale</v>
      </c>
      <c r="P63" t="str">
        <f t="shared" si="1"/>
        <v>CRCW04024K70JNTD</v>
      </c>
    </row>
    <row r="64" spans="1:16" x14ac:dyDescent="0.45">
      <c r="A64" s="2" t="s">
        <v>340</v>
      </c>
      <c r="B64" s="2" t="s">
        <v>335</v>
      </c>
      <c r="C64" s="2" t="s">
        <v>341</v>
      </c>
      <c r="D64" s="2" t="s">
        <v>342</v>
      </c>
      <c r="E64" s="2" t="s">
        <v>343</v>
      </c>
      <c r="F64" s="1">
        <v>2</v>
      </c>
      <c r="G64" s="2" t="s">
        <v>104</v>
      </c>
      <c r="H64" s="1"/>
      <c r="I64" s="2" t="s">
        <v>344</v>
      </c>
      <c r="J64" s="1"/>
      <c r="K64" s="1"/>
      <c r="L64" s="1"/>
      <c r="M64" s="1"/>
      <c r="N64" s="1"/>
      <c r="O64" t="str">
        <f t="shared" si="0"/>
        <v>Murata</v>
      </c>
      <c r="P64" t="str">
        <f t="shared" si="1"/>
        <v>GRM1555C1H5R1CA01D</v>
      </c>
    </row>
    <row r="65" spans="1:16" x14ac:dyDescent="0.45">
      <c r="A65" s="2" t="s">
        <v>345</v>
      </c>
      <c r="B65" s="2" t="s">
        <v>335</v>
      </c>
      <c r="C65" s="2" t="s">
        <v>346</v>
      </c>
      <c r="D65" s="2" t="s">
        <v>347</v>
      </c>
      <c r="E65" s="2" t="s">
        <v>348</v>
      </c>
      <c r="F65" s="1">
        <v>3</v>
      </c>
      <c r="G65" s="2" t="s">
        <v>349</v>
      </c>
      <c r="H65" s="1"/>
      <c r="I65" s="2" t="s">
        <v>350</v>
      </c>
      <c r="J65" s="1"/>
      <c r="K65" s="1"/>
      <c r="L65" s="1"/>
      <c r="M65" s="1"/>
      <c r="N65" s="1"/>
      <c r="O65" t="str">
        <f t="shared" si="0"/>
        <v>AVX Interconnect / Elco</v>
      </c>
      <c r="P65" t="str">
        <f t="shared" si="1"/>
        <v>0805ZD226MAT2A</v>
      </c>
    </row>
    <row r="66" spans="1:16" x14ac:dyDescent="0.45">
      <c r="A66" s="2" t="s">
        <v>351</v>
      </c>
      <c r="B66" s="2" t="s">
        <v>335</v>
      </c>
      <c r="C66" s="2" t="s">
        <v>352</v>
      </c>
      <c r="D66" s="2" t="s">
        <v>353</v>
      </c>
      <c r="E66" s="2" t="s">
        <v>354</v>
      </c>
      <c r="F66" s="1">
        <v>2</v>
      </c>
      <c r="G66" s="2" t="s">
        <v>245</v>
      </c>
      <c r="H66" s="1"/>
      <c r="I66" s="2" t="s">
        <v>355</v>
      </c>
      <c r="J66" s="1"/>
      <c r="K66" s="1"/>
      <c r="L66" s="1"/>
      <c r="M66" s="1"/>
      <c r="N66" s="1"/>
      <c r="O66" t="str">
        <f t="shared" si="0"/>
        <v>Yageo</v>
      </c>
      <c r="P66" t="str">
        <f t="shared" si="1"/>
        <v>RC1206JR-1033KL</v>
      </c>
    </row>
    <row r="67" spans="1:16" x14ac:dyDescent="0.45">
      <c r="A67" s="2" t="s">
        <v>356</v>
      </c>
      <c r="B67" s="2" t="s">
        <v>357</v>
      </c>
      <c r="C67" s="2" t="s">
        <v>358</v>
      </c>
      <c r="D67" s="2" t="s">
        <v>359</v>
      </c>
      <c r="E67" s="2" t="s">
        <v>360</v>
      </c>
      <c r="F67" s="1">
        <v>1</v>
      </c>
      <c r="G67" s="2" t="s">
        <v>361</v>
      </c>
      <c r="H67" s="1"/>
      <c r="I67" s="1"/>
      <c r="J67" s="2" t="s">
        <v>362</v>
      </c>
      <c r="K67" s="1"/>
      <c r="L67" s="1"/>
      <c r="M67" s="1"/>
      <c r="N67" s="1"/>
      <c r="O67" t="str">
        <f t="shared" ref="O67:O75" si="2">IF(G67&lt;&gt;"", G67, IF(K67&lt;&gt;"", K67, IF(L67&lt;&gt;"", L67, IF(M67&lt;&gt;"", M67, ""))))</f>
        <v>Nichicon</v>
      </c>
      <c r="P67" t="str">
        <f t="shared" ref="P67:P74" si="3">IF(H67&lt;&gt;"", H67, IF(I67&lt;&gt;"", I67, IF(J67&lt;&gt;"", J67, IF(N67&lt;&gt;"", N67, ""))))</f>
        <v>UUD1E101MCL1GS</v>
      </c>
    </row>
    <row r="68" spans="1:16" x14ac:dyDescent="0.45">
      <c r="A68" s="2" t="s">
        <v>363</v>
      </c>
      <c r="B68" s="2" t="s">
        <v>364</v>
      </c>
      <c r="C68" s="2" t="s">
        <v>365</v>
      </c>
      <c r="D68" s="2" t="s">
        <v>366</v>
      </c>
      <c r="E68" s="2" t="s">
        <v>367</v>
      </c>
      <c r="F68" s="1">
        <v>9</v>
      </c>
      <c r="G68" s="1"/>
      <c r="H68" s="1"/>
      <c r="I68" s="1"/>
      <c r="J68" s="1"/>
      <c r="K68" s="1"/>
      <c r="L68" s="1"/>
      <c r="M68" s="2" t="s">
        <v>20</v>
      </c>
      <c r="N68" s="2" t="s">
        <v>368</v>
      </c>
      <c r="O68" t="str">
        <f t="shared" si="2"/>
        <v>DigiKey</v>
      </c>
      <c r="P68" t="str">
        <f t="shared" si="3"/>
        <v>CRCW0402330RJNTD-ND</v>
      </c>
    </row>
    <row r="69" spans="1:16" x14ac:dyDescent="0.45">
      <c r="A69" s="2" t="s">
        <v>369</v>
      </c>
      <c r="B69" s="2" t="s">
        <v>370</v>
      </c>
      <c r="C69" s="2" t="s">
        <v>371</v>
      </c>
      <c r="D69" s="2" t="s">
        <v>372</v>
      </c>
      <c r="E69" s="2" t="s">
        <v>373</v>
      </c>
      <c r="F69" s="1">
        <v>4</v>
      </c>
      <c r="G69" s="1"/>
      <c r="H69" s="1"/>
      <c r="I69" s="1"/>
      <c r="J69" s="1"/>
      <c r="K69" s="1"/>
      <c r="L69" s="1"/>
      <c r="M69" s="2" t="s">
        <v>374</v>
      </c>
      <c r="N69" s="2" t="s">
        <v>375</v>
      </c>
      <c r="O69" t="str">
        <f t="shared" si="2"/>
        <v>RS</v>
      </c>
      <c r="P69" t="str">
        <f t="shared" si="3"/>
        <v>8154215P</v>
      </c>
    </row>
    <row r="70" spans="1:16" x14ac:dyDescent="0.45">
      <c r="A70" s="2" t="s">
        <v>376</v>
      </c>
      <c r="B70" s="2" t="s">
        <v>377</v>
      </c>
      <c r="C70" s="2" t="s">
        <v>378</v>
      </c>
      <c r="D70" s="2" t="s">
        <v>372</v>
      </c>
      <c r="E70" s="2" t="s">
        <v>379</v>
      </c>
      <c r="F70" s="1">
        <v>2</v>
      </c>
      <c r="G70" s="1"/>
      <c r="H70" s="1"/>
      <c r="I70" s="1"/>
      <c r="J70" s="1"/>
      <c r="K70" s="1"/>
      <c r="L70" s="1"/>
      <c r="M70" s="2" t="s">
        <v>380</v>
      </c>
      <c r="N70" s="2" t="s">
        <v>381</v>
      </c>
      <c r="O70" t="str">
        <f t="shared" si="2"/>
        <v>Farnell</v>
      </c>
      <c r="P70" t="str">
        <f t="shared" si="3"/>
        <v>150060RS75000</v>
      </c>
    </row>
    <row r="71" spans="1:16" x14ac:dyDescent="0.45">
      <c r="A71" s="2" t="s">
        <v>382</v>
      </c>
      <c r="B71" s="2" t="s">
        <v>383</v>
      </c>
      <c r="C71" s="2" t="s">
        <v>384</v>
      </c>
      <c r="D71" s="2" t="s">
        <v>372</v>
      </c>
      <c r="E71" s="2" t="s">
        <v>385</v>
      </c>
      <c r="F71" s="1">
        <v>3</v>
      </c>
      <c r="G71" s="1"/>
      <c r="H71" s="1"/>
      <c r="I71" s="1"/>
      <c r="J71" s="1"/>
      <c r="K71" s="1"/>
      <c r="L71" s="1"/>
      <c r="M71" s="2" t="s">
        <v>380</v>
      </c>
      <c r="N71" s="2" t="s">
        <v>386</v>
      </c>
      <c r="O71" t="str">
        <f t="shared" si="2"/>
        <v>Farnell</v>
      </c>
      <c r="P71" t="str">
        <f t="shared" si="3"/>
        <v>150060YS75000</v>
      </c>
    </row>
    <row r="72" spans="1:16" x14ac:dyDescent="0.45">
      <c r="A72" s="2" t="s">
        <v>387</v>
      </c>
      <c r="B72" s="2" t="s">
        <v>388</v>
      </c>
      <c r="C72" s="2" t="s">
        <v>389</v>
      </c>
      <c r="D72" s="2" t="s">
        <v>390</v>
      </c>
      <c r="E72" s="2" t="s">
        <v>391</v>
      </c>
      <c r="F72" s="1">
        <v>1</v>
      </c>
      <c r="G72" s="1"/>
      <c r="H72" s="1"/>
      <c r="I72" s="1"/>
      <c r="J72" s="1"/>
      <c r="K72" s="1"/>
      <c r="L72" s="1"/>
      <c r="M72" s="2" t="s">
        <v>20</v>
      </c>
      <c r="N72" s="2" t="s">
        <v>392</v>
      </c>
      <c r="O72" t="str">
        <f t="shared" si="2"/>
        <v>DigiKey</v>
      </c>
      <c r="P72" t="str">
        <f t="shared" si="3"/>
        <v>1471-MIKROE-5210-ND</v>
      </c>
    </row>
    <row r="73" spans="1:16" x14ac:dyDescent="0.45">
      <c r="A73" s="2" t="s">
        <v>393</v>
      </c>
      <c r="B73" s="2" t="s">
        <v>394</v>
      </c>
      <c r="C73" s="2" t="s">
        <v>395</v>
      </c>
      <c r="D73" s="2" t="s">
        <v>396</v>
      </c>
      <c r="E73" s="2" t="s">
        <v>397</v>
      </c>
      <c r="F73" s="1">
        <v>1</v>
      </c>
      <c r="G73" s="1"/>
      <c r="H73" s="1"/>
      <c r="I73" s="1"/>
      <c r="J73" s="1"/>
      <c r="K73" s="1"/>
      <c r="L73" s="1"/>
      <c r="M73" s="2" t="s">
        <v>62</v>
      </c>
      <c r="N73" s="2" t="s">
        <v>393</v>
      </c>
      <c r="O73" t="str">
        <f t="shared" si="2"/>
        <v>Avnet</v>
      </c>
      <c r="P73" t="str">
        <f t="shared" si="3"/>
        <v>SMA-J-P-H-ST-EM1</v>
      </c>
    </row>
    <row r="74" spans="1:16" x14ac:dyDescent="0.45">
      <c r="A74" s="2" t="s">
        <v>398</v>
      </c>
      <c r="B74" s="2" t="s">
        <v>399</v>
      </c>
      <c r="C74" s="2" t="s">
        <v>400</v>
      </c>
      <c r="D74" s="2" t="s">
        <v>401</v>
      </c>
      <c r="E74" s="2" t="s">
        <v>398</v>
      </c>
      <c r="F74" s="1">
        <v>2</v>
      </c>
      <c r="G74" s="1"/>
      <c r="H74" s="1"/>
      <c r="I74" s="1"/>
      <c r="J74" s="1"/>
      <c r="K74" s="1"/>
      <c r="L74" s="1"/>
      <c r="M74" s="2" t="s">
        <v>20</v>
      </c>
      <c r="N74" s="2" t="s">
        <v>402</v>
      </c>
      <c r="O74" t="str">
        <f t="shared" si="2"/>
        <v>DigiKey</v>
      </c>
      <c r="P74" t="str">
        <f t="shared" si="3"/>
        <v>TDN5-0911WISM-ND</v>
      </c>
    </row>
    <row r="75" spans="1:16" x14ac:dyDescent="0.45">
      <c r="A75" s="2" t="s">
        <v>403</v>
      </c>
      <c r="B75" s="2" t="s">
        <v>335</v>
      </c>
      <c r="C75" s="2" t="s">
        <v>404</v>
      </c>
      <c r="D75" s="2" t="s">
        <v>403</v>
      </c>
      <c r="E75" s="2" t="s">
        <v>403</v>
      </c>
      <c r="F75" s="1">
        <v>28</v>
      </c>
      <c r="G75" s="1"/>
      <c r="H75" s="1"/>
      <c r="I75" s="1"/>
      <c r="J75" s="1"/>
      <c r="K75" s="1"/>
      <c r="L75" s="1"/>
      <c r="M75" s="1"/>
      <c r="N75" s="1"/>
      <c r="O75" t="str">
        <f t="shared" si="2"/>
        <v/>
      </c>
      <c r="P75" t="str">
        <f t="shared" ref="P67:P75" si="4">_xlfn.TEXTJOIN(" ", TRUE, H75,I75,J75,N75)</f>
        <v/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Materials-ublox_gnss_no</vt:lpstr>
      <vt:lpstr>'Bill of Materials-ublox_gnss_no'!Print_Titles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Ciril Clerc</dc:creator>
  <cp:lastModifiedBy>Ciril Clerc</cp:lastModifiedBy>
  <dcterms:created xsi:type="dcterms:W3CDTF">2026-04-27T13:03:54Z</dcterms:created>
  <dcterms:modified xsi:type="dcterms:W3CDTF">2026-04-27T13:35:01Z</dcterms:modified>
</cp:coreProperties>
</file>